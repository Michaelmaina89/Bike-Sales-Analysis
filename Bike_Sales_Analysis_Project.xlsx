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icha\Downloads\"/>
    </mc:Choice>
  </mc:AlternateContent>
  <xr:revisionPtr revIDLastSave="0" documentId="8_{9F67CB65-AE5F-417F-B7B5-C6887DC84FA7}" xr6:coauthVersionLast="47" xr6:coauthVersionMax="47" xr10:uidLastSave="{00000000-0000-0000-0000-000000000000}"/>
  <bookViews>
    <workbookView xWindow="-110" yWindow="-110" windowWidth="19420" windowHeight="10300" activeTab="4" xr2:uid="{00000000-000D-0000-FFFF-FFFF00000000}"/>
  </bookViews>
  <sheets>
    <sheet name="Summary" sheetId="6" r:id="rId1"/>
    <sheet name="bike_buyers" sheetId="1" r:id="rId2"/>
    <sheet name="Working Sheet" sheetId="4" r:id="rId3"/>
    <sheet name="Pivot Table" sheetId="3" r:id="rId4"/>
    <sheet name="Dashboard" sheetId="2" r:id="rId5"/>
  </sheets>
  <definedNames>
    <definedName name="_xlnm._FilterDatabase" localSheetId="1" hidden="1">bike_buyers!$A$1:$M$1027</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4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<sst xmlns="http://schemas.openxmlformats.org/spreadsheetml/2006/main" count="16280" uniqueCount="52">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</sst>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Ksh&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20"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"Ksh"#,##0</c:formatCode>
                <c:ptCount val="2"/>
                <c:pt idx="0">
                  <c:v>53440</c:v>
                </c:pt>
                <c:pt idx="1">
                  <c:v>56208.178438661707</c:v>
                </c:pt>
              </c:numCache>
            </c:numRef>
          </c:val>
          <c:extLst>
            <c:ext xmlns:c16="http://schemas.microsoft.com/office/drawing/2014/chart" uri="{C3380CC4-5D6E-409C-BE32-E72D297353CC}">
              <c16:uniqueId val="{00000000-E25F-4D09-88C2-AB1AFDC1788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"Ksh"#,##0</c:formatCode>
                <c:ptCount val="2"/>
                <c:pt idx="0">
                  <c:v>55774.058577405856</c:v>
                </c:pt>
                <c:pt idx="1">
                  <c:v>60123.966942148763</c:v>
                </c:pt>
              </c:numCache>
            </c:numRef>
          </c:val>
          <c:extLst>
            <c:ext xmlns:c16="http://schemas.microsoft.com/office/drawing/2014/chart" uri="{C3380CC4-5D6E-409C-BE32-E72D297353CC}">
              <c16:uniqueId val="{00000001-E25F-4D09-88C2-AB1AFDC1788B}"/>
            </c:ext>
          </c:extLst>
        </c:ser>
        <c:dLbls>
          <c:dLblPos val="outEnd"/>
          <c:showLegendKey val="0"/>
          <c:showVal val="0"/>
          <c:showCatName val="0"/>
          <c:showSerName val="0"/>
          <c:showPercent val="0"/>
          <c:showBubbleSize val="0"/>
        </c:dLbls>
        <c:gapWidth val="219"/>
        <c:overlap val="-27"/>
        <c:axId val="1116503824"/>
        <c:axId val="1116520624"/>
      </c:barChart>
      <c:catAx>
        <c:axId val="1116503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20624"/>
        <c:crosses val="autoZero"/>
        <c:auto val="1"/>
        <c:lblAlgn val="ctr"/>
        <c:lblOffset val="100"/>
        <c:noMultiLvlLbl val="0"/>
      </c:catAx>
      <c:valAx>
        <c:axId val="111652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quot;Ksh&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03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Table'!$A$17:$A$23</c:f>
              <c:strCache>
                <c:ptCount val="6"/>
                <c:pt idx="0">
                  <c:v>0-1 Miles</c:v>
                </c:pt>
                <c:pt idx="1">
                  <c:v>1-2 Miles</c:v>
                </c:pt>
                <c:pt idx="2">
                  <c:v>2-5 Miles</c:v>
                </c:pt>
                <c:pt idx="3">
                  <c:v>5-10 Miles</c:v>
                </c:pt>
                <c:pt idx="4">
                  <c:v>More than 10 Miles</c:v>
                </c:pt>
                <c:pt idx="5">
                  <c:v>(blank)</c:v>
                </c:pt>
              </c:strCache>
            </c:strRef>
          </c:cat>
          <c:val>
            <c:numRef>
              <c:f>'Pivot Table'!$B$17:$B$23</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1B9E-4F45-A65B-B669D62FEB04}"/>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Table'!$A$17:$A$23</c:f>
              <c:strCache>
                <c:ptCount val="6"/>
                <c:pt idx="0">
                  <c:v>0-1 Miles</c:v>
                </c:pt>
                <c:pt idx="1">
                  <c:v>1-2 Miles</c:v>
                </c:pt>
                <c:pt idx="2">
                  <c:v>2-5 Miles</c:v>
                </c:pt>
                <c:pt idx="3">
                  <c:v>5-10 Miles</c:v>
                </c:pt>
                <c:pt idx="4">
                  <c:v>More than 10 Miles</c:v>
                </c:pt>
                <c:pt idx="5">
                  <c:v>(blank)</c:v>
                </c:pt>
              </c:strCache>
            </c:strRef>
          </c:cat>
          <c:val>
            <c:numRef>
              <c:f>'Pivot Table'!$C$17:$C$23</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1-1B9E-4F45-A65B-B669D62FEB04}"/>
            </c:ext>
          </c:extLst>
        </c:ser>
        <c:ser>
          <c:idx val="2"/>
          <c:order val="2"/>
          <c:tx>
            <c:strRef>
              <c:f>'Pivot Table'!$D$15:$D$16</c:f>
              <c:strCache>
                <c:ptCount val="1"/>
                <c:pt idx="0">
                  <c:v>(blank)</c:v>
                </c:pt>
              </c:strCache>
            </c:strRef>
          </c:tx>
          <c:spPr>
            <a:ln w="28575" cap="rnd">
              <a:solidFill>
                <a:schemeClr val="accent3"/>
              </a:solidFill>
              <a:round/>
            </a:ln>
            <a:effectLst/>
          </c:spPr>
          <c:marker>
            <c:symbol val="none"/>
          </c:marker>
          <c:cat>
            <c:strRef>
              <c:f>'Pivot Table'!$A$17:$A$23</c:f>
              <c:strCache>
                <c:ptCount val="6"/>
                <c:pt idx="0">
                  <c:v>0-1 Miles</c:v>
                </c:pt>
                <c:pt idx="1">
                  <c:v>1-2 Miles</c:v>
                </c:pt>
                <c:pt idx="2">
                  <c:v>2-5 Miles</c:v>
                </c:pt>
                <c:pt idx="3">
                  <c:v>5-10 Miles</c:v>
                </c:pt>
                <c:pt idx="4">
                  <c:v>More than 10 Miles</c:v>
                </c:pt>
                <c:pt idx="5">
                  <c:v>(blank)</c:v>
                </c:pt>
              </c:strCache>
            </c:strRef>
          </c:cat>
          <c:val>
            <c:numRef>
              <c:f>'Pivot Table'!$D$17:$D$23</c:f>
              <c:numCache>
                <c:formatCode>General</c:formatCode>
                <c:ptCount val="6"/>
              </c:numCache>
            </c:numRef>
          </c:val>
          <c:smooth val="0"/>
          <c:extLst>
            <c:ext xmlns:c16="http://schemas.microsoft.com/office/drawing/2014/chart" uri="{C3380CC4-5D6E-409C-BE32-E72D297353CC}">
              <c16:uniqueId val="{00000003-1B9E-4F45-A65B-B669D62FEB04}"/>
            </c:ext>
          </c:extLst>
        </c:ser>
        <c:dLbls>
          <c:showLegendKey val="0"/>
          <c:showVal val="0"/>
          <c:showCatName val="0"/>
          <c:showSerName val="0"/>
          <c:showPercent val="0"/>
          <c:showBubbleSize val="0"/>
        </c:dLbls>
        <c:smooth val="0"/>
        <c:axId val="1116551824"/>
        <c:axId val="1116552304"/>
      </c:lineChart>
      <c:catAx>
        <c:axId val="111655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2304"/>
        <c:crosses val="autoZero"/>
        <c:auto val="1"/>
        <c:lblAlgn val="ctr"/>
        <c:lblOffset val="100"/>
        <c:noMultiLvlLbl val="0"/>
      </c:catAx>
      <c:valAx>
        <c:axId val="111655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Table'!$A$31:$A$35</c:f>
              <c:strCache>
                <c:ptCount val="4"/>
                <c:pt idx="0">
                  <c:v>Adolescent</c:v>
                </c:pt>
                <c:pt idx="1">
                  <c:v>Middle Age</c:v>
                </c:pt>
                <c:pt idx="2">
                  <c:v>Old</c:v>
                </c:pt>
                <c:pt idx="3">
                  <c:v>(blank)</c:v>
                </c:pt>
              </c:strCache>
            </c:strRef>
          </c:cat>
          <c:val>
            <c:numRef>
              <c:f>'Pivot Table'!$B$31:$B$35</c:f>
              <c:numCache>
                <c:formatCode>General</c:formatCode>
                <c:ptCount val="4"/>
                <c:pt idx="0">
                  <c:v>71</c:v>
                </c:pt>
                <c:pt idx="1">
                  <c:v>318</c:v>
                </c:pt>
                <c:pt idx="2">
                  <c:v>130</c:v>
                </c:pt>
              </c:numCache>
            </c:numRef>
          </c:val>
          <c:smooth val="0"/>
          <c:extLst>
            <c:ext xmlns:c16="http://schemas.microsoft.com/office/drawing/2014/chart" uri="{C3380CC4-5D6E-409C-BE32-E72D297353CC}">
              <c16:uniqueId val="{00000000-57BF-4D4E-9B6A-86A075212705}"/>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Table'!$A$31:$A$35</c:f>
              <c:strCache>
                <c:ptCount val="4"/>
                <c:pt idx="0">
                  <c:v>Adolescent</c:v>
                </c:pt>
                <c:pt idx="1">
                  <c:v>Middle Age</c:v>
                </c:pt>
                <c:pt idx="2">
                  <c:v>Old</c:v>
                </c:pt>
                <c:pt idx="3">
                  <c:v>(blank)</c:v>
                </c:pt>
              </c:strCache>
            </c:strRef>
          </c:cat>
          <c:val>
            <c:numRef>
              <c:f>'Pivot Table'!$C$31:$C$35</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57BF-4D4E-9B6A-86A075212705}"/>
            </c:ext>
          </c:extLst>
        </c:ser>
        <c:ser>
          <c:idx val="2"/>
          <c:order val="2"/>
          <c:tx>
            <c:strRef>
              <c:f>'Pivot Table'!$D$29:$D$30</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Table'!$A$31:$A$35</c:f>
              <c:strCache>
                <c:ptCount val="4"/>
                <c:pt idx="0">
                  <c:v>Adolescent</c:v>
                </c:pt>
                <c:pt idx="1">
                  <c:v>Middle Age</c:v>
                </c:pt>
                <c:pt idx="2">
                  <c:v>Old</c:v>
                </c:pt>
                <c:pt idx="3">
                  <c:v>(blank)</c:v>
                </c:pt>
              </c:strCache>
            </c:strRef>
          </c:cat>
          <c:val>
            <c:numRef>
              <c:f>'Pivot Table'!$D$31:$D$35</c:f>
              <c:numCache>
                <c:formatCode>General</c:formatCode>
                <c:ptCount val="4"/>
              </c:numCache>
            </c:numRef>
          </c:val>
          <c:smooth val="0"/>
          <c:extLst>
            <c:ext xmlns:c16="http://schemas.microsoft.com/office/drawing/2014/chart" uri="{C3380CC4-5D6E-409C-BE32-E72D297353CC}">
              <c16:uniqueId val="{00000003-57BF-4D4E-9B6A-86A075212705}"/>
            </c:ext>
          </c:extLst>
        </c:ser>
        <c:dLbls>
          <c:showLegendKey val="0"/>
          <c:showVal val="0"/>
          <c:showCatName val="0"/>
          <c:showSerName val="0"/>
          <c:showPercent val="0"/>
          <c:showBubbleSize val="0"/>
        </c:dLbls>
        <c:marker val="1"/>
        <c:smooth val="0"/>
        <c:axId val="1116553744"/>
        <c:axId val="1116554224"/>
      </c:lineChart>
      <c:catAx>
        <c:axId val="111655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4224"/>
        <c:crosses val="autoZero"/>
        <c:auto val="1"/>
        <c:lblAlgn val="ctr"/>
        <c:lblOffset val="100"/>
        <c:noMultiLvlLbl val="0"/>
      </c:catAx>
      <c:valAx>
        <c:axId val="11165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Table'!$A$46:$A$100</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Table'!$B$46:$B$100</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AC1-4CB2-B4EE-298A96EB6229}"/>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Table'!$A$46:$A$100</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Table'!$C$46:$C$100</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AC1-4CB2-B4EE-298A96EB6229}"/>
            </c:ext>
          </c:extLst>
        </c:ser>
        <c:ser>
          <c:idx val="2"/>
          <c:order val="2"/>
          <c:tx>
            <c:strRef>
              <c:f>'Pivot Table'!$D$44:$D$45</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Table'!$A$46:$A$100</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Table'!$D$46:$D$100</c:f>
              <c:numCache>
                <c:formatCode>General</c:formatCode>
                <c:ptCount val="54"/>
              </c:numCache>
            </c:numRef>
          </c:val>
          <c:smooth val="0"/>
          <c:extLst>
            <c:ext xmlns:c16="http://schemas.microsoft.com/office/drawing/2014/chart" uri="{C3380CC4-5D6E-409C-BE32-E72D297353CC}">
              <c16:uniqueId val="{00000003-3AC1-4CB2-B4EE-298A96EB6229}"/>
            </c:ext>
          </c:extLst>
        </c:ser>
        <c:dLbls>
          <c:showLegendKey val="0"/>
          <c:showVal val="0"/>
          <c:showCatName val="0"/>
          <c:showSerName val="0"/>
          <c:showPercent val="0"/>
          <c:showBubbleSize val="0"/>
        </c:dLbls>
        <c:marker val="1"/>
        <c:smooth val="0"/>
        <c:axId val="1116502864"/>
        <c:axId val="1116501424"/>
      </c:lineChart>
      <c:catAx>
        <c:axId val="111650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01424"/>
        <c:crosses val="autoZero"/>
        <c:auto val="1"/>
        <c:lblAlgn val="ctr"/>
        <c:lblOffset val="100"/>
        <c:noMultiLvlLbl val="0"/>
      </c:catAx>
      <c:valAx>
        <c:axId val="11165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0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"Ksh"#,##0</c:formatCode>
                <c:ptCount val="2"/>
                <c:pt idx="0">
                  <c:v>53440</c:v>
                </c:pt>
                <c:pt idx="1">
                  <c:v>56208.178438661707</c:v>
                </c:pt>
              </c:numCache>
            </c:numRef>
          </c:val>
          <c:extLst>
            <c:ext xmlns:c16="http://schemas.microsoft.com/office/drawing/2014/chart" uri="{C3380CC4-5D6E-409C-BE32-E72D297353CC}">
              <c16:uniqueId val="{00000000-515A-42AC-9C5C-69076CA0306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"Ksh"#,##0</c:formatCode>
                <c:ptCount val="2"/>
                <c:pt idx="0">
                  <c:v>55774.058577405856</c:v>
                </c:pt>
                <c:pt idx="1">
                  <c:v>60123.966942148763</c:v>
                </c:pt>
              </c:numCache>
            </c:numRef>
          </c:val>
          <c:extLst>
            <c:ext xmlns:c16="http://schemas.microsoft.com/office/drawing/2014/chart" uri="{C3380CC4-5D6E-409C-BE32-E72D297353CC}">
              <c16:uniqueId val="{00000001-515A-42AC-9C5C-69076CA03065}"/>
            </c:ext>
          </c:extLst>
        </c:ser>
        <c:dLbls>
          <c:showLegendKey val="0"/>
          <c:showVal val="0"/>
          <c:showCatName val="0"/>
          <c:showSerName val="0"/>
          <c:showPercent val="0"/>
          <c:showBubbleSize val="0"/>
        </c:dLbls>
        <c:gapWidth val="219"/>
        <c:overlap val="-27"/>
        <c:axId val="1116503824"/>
        <c:axId val="1116520624"/>
      </c:barChart>
      <c:catAx>
        <c:axId val="1116503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20624"/>
        <c:crosses val="autoZero"/>
        <c:auto val="1"/>
        <c:lblAlgn val="ctr"/>
        <c:lblOffset val="100"/>
        <c:noMultiLvlLbl val="0"/>
      </c:catAx>
      <c:valAx>
        <c:axId val="111652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quot;Ksh&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03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Table'!$A$17:$A$23</c:f>
              <c:strCache>
                <c:ptCount val="6"/>
                <c:pt idx="0">
                  <c:v>0-1 Miles</c:v>
                </c:pt>
                <c:pt idx="1">
                  <c:v>1-2 Miles</c:v>
                </c:pt>
                <c:pt idx="2">
                  <c:v>2-5 Miles</c:v>
                </c:pt>
                <c:pt idx="3">
                  <c:v>5-10 Miles</c:v>
                </c:pt>
                <c:pt idx="4">
                  <c:v>More than 10 Miles</c:v>
                </c:pt>
                <c:pt idx="5">
                  <c:v>(blank)</c:v>
                </c:pt>
              </c:strCache>
            </c:strRef>
          </c:cat>
          <c:val>
            <c:numRef>
              <c:f>'Pivot Table'!$B$17:$B$23</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C748-4585-A18C-2CC190F9EB42}"/>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Table'!$A$17:$A$23</c:f>
              <c:strCache>
                <c:ptCount val="6"/>
                <c:pt idx="0">
                  <c:v>0-1 Miles</c:v>
                </c:pt>
                <c:pt idx="1">
                  <c:v>1-2 Miles</c:v>
                </c:pt>
                <c:pt idx="2">
                  <c:v>2-5 Miles</c:v>
                </c:pt>
                <c:pt idx="3">
                  <c:v>5-10 Miles</c:v>
                </c:pt>
                <c:pt idx="4">
                  <c:v>More than 10 Miles</c:v>
                </c:pt>
                <c:pt idx="5">
                  <c:v>(blank)</c:v>
                </c:pt>
              </c:strCache>
            </c:strRef>
          </c:cat>
          <c:val>
            <c:numRef>
              <c:f>'Pivot Table'!$C$17:$C$23</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1-C748-4585-A18C-2CC190F9EB42}"/>
            </c:ext>
          </c:extLst>
        </c:ser>
        <c:ser>
          <c:idx val="2"/>
          <c:order val="2"/>
          <c:tx>
            <c:strRef>
              <c:f>'Pivot Table'!$D$15:$D$16</c:f>
              <c:strCache>
                <c:ptCount val="1"/>
                <c:pt idx="0">
                  <c:v>(blank)</c:v>
                </c:pt>
              </c:strCache>
            </c:strRef>
          </c:tx>
          <c:spPr>
            <a:ln w="28575" cap="rnd">
              <a:solidFill>
                <a:schemeClr val="accent3"/>
              </a:solidFill>
              <a:round/>
            </a:ln>
            <a:effectLst/>
          </c:spPr>
          <c:marker>
            <c:symbol val="none"/>
          </c:marker>
          <c:cat>
            <c:strRef>
              <c:f>'Pivot Table'!$A$17:$A$23</c:f>
              <c:strCache>
                <c:ptCount val="6"/>
                <c:pt idx="0">
                  <c:v>0-1 Miles</c:v>
                </c:pt>
                <c:pt idx="1">
                  <c:v>1-2 Miles</c:v>
                </c:pt>
                <c:pt idx="2">
                  <c:v>2-5 Miles</c:v>
                </c:pt>
                <c:pt idx="3">
                  <c:v>5-10 Miles</c:v>
                </c:pt>
                <c:pt idx="4">
                  <c:v>More than 10 Miles</c:v>
                </c:pt>
                <c:pt idx="5">
                  <c:v>(blank)</c:v>
                </c:pt>
              </c:strCache>
            </c:strRef>
          </c:cat>
          <c:val>
            <c:numRef>
              <c:f>'Pivot Table'!$D$17:$D$23</c:f>
              <c:numCache>
                <c:formatCode>General</c:formatCode>
                <c:ptCount val="6"/>
              </c:numCache>
            </c:numRef>
          </c:val>
          <c:smooth val="0"/>
          <c:extLst>
            <c:ext xmlns:c16="http://schemas.microsoft.com/office/drawing/2014/chart" uri="{C3380CC4-5D6E-409C-BE32-E72D297353CC}">
              <c16:uniqueId val="{00000003-C748-4585-A18C-2CC190F9EB42}"/>
            </c:ext>
          </c:extLst>
        </c:ser>
        <c:dLbls>
          <c:dLblPos val="t"/>
          <c:showLegendKey val="0"/>
          <c:showVal val="0"/>
          <c:showCatName val="0"/>
          <c:showSerName val="0"/>
          <c:showPercent val="0"/>
          <c:showBubbleSize val="0"/>
        </c:dLbls>
        <c:smooth val="0"/>
        <c:axId val="1116551824"/>
        <c:axId val="1116552304"/>
      </c:lineChart>
      <c:catAx>
        <c:axId val="111655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2304"/>
        <c:crosses val="autoZero"/>
        <c:auto val="1"/>
        <c:lblAlgn val="ctr"/>
        <c:lblOffset val="100"/>
        <c:noMultiLvlLbl val="0"/>
      </c:catAx>
      <c:valAx>
        <c:axId val="111655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1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Table'!$A$31:$A$35</c:f>
              <c:strCache>
                <c:ptCount val="4"/>
                <c:pt idx="0">
                  <c:v>Adolescent</c:v>
                </c:pt>
                <c:pt idx="1">
                  <c:v>Middle Age</c:v>
                </c:pt>
                <c:pt idx="2">
                  <c:v>Old</c:v>
                </c:pt>
                <c:pt idx="3">
                  <c:v>(blank)</c:v>
                </c:pt>
              </c:strCache>
            </c:strRef>
          </c:cat>
          <c:val>
            <c:numRef>
              <c:f>'Pivot Table'!$B$31:$B$35</c:f>
              <c:numCache>
                <c:formatCode>General</c:formatCode>
                <c:ptCount val="4"/>
                <c:pt idx="0">
                  <c:v>71</c:v>
                </c:pt>
                <c:pt idx="1">
                  <c:v>318</c:v>
                </c:pt>
                <c:pt idx="2">
                  <c:v>130</c:v>
                </c:pt>
              </c:numCache>
            </c:numRef>
          </c:val>
          <c:smooth val="0"/>
          <c:extLst>
            <c:ext xmlns:c16="http://schemas.microsoft.com/office/drawing/2014/chart" uri="{C3380CC4-5D6E-409C-BE32-E72D297353CC}">
              <c16:uniqueId val="{00000000-B46F-4351-A10C-AC3565291A85}"/>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Table'!$A$31:$A$35</c:f>
              <c:strCache>
                <c:ptCount val="4"/>
                <c:pt idx="0">
                  <c:v>Adolescent</c:v>
                </c:pt>
                <c:pt idx="1">
                  <c:v>Middle Age</c:v>
                </c:pt>
                <c:pt idx="2">
                  <c:v>Old</c:v>
                </c:pt>
                <c:pt idx="3">
                  <c:v>(blank)</c:v>
                </c:pt>
              </c:strCache>
            </c:strRef>
          </c:cat>
          <c:val>
            <c:numRef>
              <c:f>'Pivot Table'!$C$31:$C$35</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B46F-4351-A10C-AC3565291A85}"/>
            </c:ext>
          </c:extLst>
        </c:ser>
        <c:ser>
          <c:idx val="2"/>
          <c:order val="2"/>
          <c:tx>
            <c:strRef>
              <c:f>'Pivot Table'!$D$29:$D$30</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Table'!$A$31:$A$35</c:f>
              <c:strCache>
                <c:ptCount val="4"/>
                <c:pt idx="0">
                  <c:v>Adolescent</c:v>
                </c:pt>
                <c:pt idx="1">
                  <c:v>Middle Age</c:v>
                </c:pt>
                <c:pt idx="2">
                  <c:v>Old</c:v>
                </c:pt>
                <c:pt idx="3">
                  <c:v>(blank)</c:v>
                </c:pt>
              </c:strCache>
            </c:strRef>
          </c:cat>
          <c:val>
            <c:numRef>
              <c:f>'Pivot Table'!$D$31:$D$35</c:f>
              <c:numCache>
                <c:formatCode>General</c:formatCode>
                <c:ptCount val="4"/>
              </c:numCache>
            </c:numRef>
          </c:val>
          <c:smooth val="0"/>
          <c:extLst>
            <c:ext xmlns:c16="http://schemas.microsoft.com/office/drawing/2014/chart" uri="{C3380CC4-5D6E-409C-BE32-E72D297353CC}">
              <c16:uniqueId val="{00000002-B46F-4351-A10C-AC3565291A85}"/>
            </c:ext>
          </c:extLst>
        </c:ser>
        <c:dLbls>
          <c:showLegendKey val="0"/>
          <c:showVal val="0"/>
          <c:showCatName val="0"/>
          <c:showSerName val="0"/>
          <c:showPercent val="0"/>
          <c:showBubbleSize val="0"/>
        </c:dLbls>
        <c:marker val="1"/>
        <c:smooth val="0"/>
        <c:axId val="1116553744"/>
        <c:axId val="1116554224"/>
      </c:lineChart>
      <c:catAx>
        <c:axId val="111655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4224"/>
        <c:crosses val="autoZero"/>
        <c:auto val="1"/>
        <c:lblAlgn val="ctr"/>
        <c:lblOffset val="100"/>
        <c:noMultiLvlLbl val="0"/>
      </c:catAx>
      <c:valAx>
        <c:axId val="11165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65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hyperlink" Target="#Summary!A1"/></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19243</xdr:rowOff>
    </xdr:from>
    <xdr:to>
      <xdr:col>12</xdr:col>
      <xdr:colOff>558030</xdr:colOff>
      <xdr:row>33</xdr:row>
      <xdr:rowOff>19243</xdr:rowOff>
    </xdr:to>
    <xdr:sp macro="" textlink="">
      <xdr:nvSpPr>
        <xdr:cNvPr id="3" name="TextBox 2">
          <a:extLst>
            <a:ext uri="{FF2B5EF4-FFF2-40B4-BE49-F238E27FC236}">
              <a16:creationId xmlns:a16="http://schemas.microsoft.com/office/drawing/2014/main" id="{1ED20227-F746-24C3-26F1-04F65000A643}"/>
            </a:ext>
          </a:extLst>
        </xdr:cNvPr>
        <xdr:cNvSpPr txBox="1"/>
      </xdr:nvSpPr>
      <xdr:spPr>
        <a:xfrm>
          <a:off x="0" y="2713182"/>
          <a:ext cx="7947121" cy="36560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t>1 Executive Summary</a:t>
          </a:r>
        </a:p>
        <a:p>
          <a:pPr marL="0" marR="0" lvl="0" indent="0" defTabSz="914400" eaLnBrk="1" fontAlgn="auto" latinLnBrk="0" hangingPunct="1">
            <a:lnSpc>
              <a:spcPct val="100000"/>
            </a:lnSpc>
            <a:spcBef>
              <a:spcPts val="0"/>
            </a:spcBef>
            <a:spcAft>
              <a:spcPts val="0"/>
            </a:spcAft>
            <a:buClrTx/>
            <a:buSzTx/>
            <a:buFontTx/>
            <a:buNone/>
            <a:tabLst/>
            <a:defRPr/>
          </a:pPr>
          <a:r>
            <a:rPr lang="en-GB" sz="2800"/>
            <a:t>This analysis explores the relationship between customer demographics (Age, Income, Gender) and lifestyle factors (Commute Distance). </a:t>
          </a:r>
        </a:p>
        <a:p>
          <a:pPr marL="0" marR="0" lvl="0" indent="0" defTabSz="914400" eaLnBrk="1" fontAlgn="auto" latinLnBrk="0" hangingPunct="1">
            <a:lnSpc>
              <a:spcPct val="100000"/>
            </a:lnSpc>
            <a:spcBef>
              <a:spcPts val="0"/>
            </a:spcBef>
            <a:spcAft>
              <a:spcPts val="0"/>
            </a:spcAft>
            <a:buClrTx/>
            <a:buSzTx/>
            <a:buFontTx/>
            <a:buNone/>
            <a:tabLst/>
            <a:defRPr/>
          </a:pPr>
          <a:r>
            <a:rPr lang="en-GB" sz="2800"/>
            <a:t>By analyzing 1,026 records, this report identifies the "Middle Age" professional as the primary customer segment to help drive targeted marketing strategies.</a:t>
          </a:r>
        </a:p>
        <a:p>
          <a:endParaRPr lang="en-KE" sz="1100"/>
        </a:p>
      </xdr:txBody>
    </xdr:sp>
    <xdr:clientData/>
  </xdr:twoCellAnchor>
  <xdr:twoCellAnchor>
    <xdr:from>
      <xdr:col>0</xdr:col>
      <xdr:colOff>0</xdr:colOff>
      <xdr:row>33</xdr:row>
      <xdr:rowOff>30975</xdr:rowOff>
    </xdr:from>
    <xdr:to>
      <xdr:col>12</xdr:col>
      <xdr:colOff>573047</xdr:colOff>
      <xdr:row>61</xdr:row>
      <xdr:rowOff>173181</xdr:rowOff>
    </xdr:to>
    <xdr:sp macro="" textlink="">
      <xdr:nvSpPr>
        <xdr:cNvPr id="5" name="TextBox 4">
          <a:extLst>
            <a:ext uri="{FF2B5EF4-FFF2-40B4-BE49-F238E27FC236}">
              <a16:creationId xmlns:a16="http://schemas.microsoft.com/office/drawing/2014/main" id="{ECAB8912-924A-7D4E-0D3A-29600F971891}"/>
            </a:ext>
          </a:extLst>
        </xdr:cNvPr>
        <xdr:cNvSpPr txBox="1"/>
      </xdr:nvSpPr>
      <xdr:spPr>
        <a:xfrm>
          <a:off x="0" y="6380975"/>
          <a:ext cx="7962138" cy="5530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t>2 Data Cleaning Process</a:t>
          </a:r>
        </a:p>
        <a:p>
          <a:r>
            <a:rPr lang="en-GB" sz="2800"/>
            <a:t>To ensure the integrity of the dashboard, the following steps were taken:</a:t>
          </a:r>
        </a:p>
        <a:p>
          <a:r>
            <a:rPr lang="en-GB" sz="2800" b="1"/>
            <a:t>Duplicate Removal:</a:t>
          </a:r>
          <a:r>
            <a:rPr lang="en-GB" sz="2800"/>
            <a:t> 26 identical records were identified and removed.</a:t>
          </a:r>
        </a:p>
        <a:p>
          <a:r>
            <a:rPr lang="en-GB" sz="2800" b="1"/>
            <a:t>Field Standardization:</a:t>
          </a:r>
          <a:r>
            <a:rPr lang="en-GB" sz="2800"/>
            <a:t> </a:t>
          </a:r>
          <a:endParaRPr lang="en-GB" sz="2800" baseline="0"/>
        </a:p>
        <a:p>
          <a:pPr marL="285750" indent="-285750">
            <a:buFont typeface="Courier New" panose="02070309020205020404" pitchFamily="49" charset="0"/>
            <a:buChar char="o"/>
          </a:pPr>
          <a:r>
            <a:rPr lang="en-GB" sz="2800"/>
            <a:t>Marital Status: M/S → Married/Single</a:t>
          </a:r>
          <a:r>
            <a:rPr lang="en-GB" sz="2800" baseline="0"/>
            <a:t> </a:t>
          </a:r>
        </a:p>
        <a:p>
          <a:pPr marL="285750" indent="-285750">
            <a:buFont typeface="Courier New" panose="02070309020205020404" pitchFamily="49" charset="0"/>
            <a:buChar char="o"/>
          </a:pPr>
          <a:r>
            <a:rPr lang="en-GB" sz="2800"/>
            <a:t>Gender: M/F → Male/Female</a:t>
          </a:r>
          <a:r>
            <a:rPr lang="en-GB" sz="2800" baseline="0"/>
            <a:t> </a:t>
          </a:r>
        </a:p>
        <a:p>
          <a:pPr marL="285750" indent="-285750">
            <a:buFont typeface="Courier New" panose="02070309020205020404" pitchFamily="49" charset="0"/>
            <a:buChar char="o"/>
          </a:pPr>
          <a:r>
            <a:rPr lang="en-GB" sz="2800"/>
            <a:t>Commute: 10+ Miles → More than 10 Miles</a:t>
          </a:r>
        </a:p>
        <a:p>
          <a:r>
            <a:rPr lang="en-GB" sz="2800" b="1"/>
            <a:t>Data Transformation:</a:t>
          </a:r>
          <a:r>
            <a:rPr lang="en-GB" sz="2800"/>
            <a:t> Created an </a:t>
          </a:r>
          <a:r>
            <a:rPr lang="en-GB" sz="2800" b="1"/>
            <a:t>Age Bracket</a:t>
          </a:r>
          <a:r>
            <a:rPr lang="en-GB" sz="2800"/>
            <a:t> column to categorize customers into Adolescent (25-30), Middle Age (31-54), and Old (55+).</a:t>
          </a:r>
        </a:p>
        <a:p>
          <a:endParaRPr lang="en-KE" sz="1100"/>
        </a:p>
      </xdr:txBody>
    </xdr:sp>
    <xdr:clientData/>
  </xdr:twoCellAnchor>
  <xdr:twoCellAnchor>
    <xdr:from>
      <xdr:col>14</xdr:col>
      <xdr:colOff>0</xdr:colOff>
      <xdr:row>0</xdr:row>
      <xdr:rowOff>0</xdr:rowOff>
    </xdr:from>
    <xdr:to>
      <xdr:col>24</xdr:col>
      <xdr:colOff>588537</xdr:colOff>
      <xdr:row>13</xdr:row>
      <xdr:rowOff>96211</xdr:rowOff>
    </xdr:to>
    <xdr:sp macro="" textlink="">
      <xdr:nvSpPr>
        <xdr:cNvPr id="6" name="TextBox 5">
          <a:extLst>
            <a:ext uri="{FF2B5EF4-FFF2-40B4-BE49-F238E27FC236}">
              <a16:creationId xmlns:a16="http://schemas.microsoft.com/office/drawing/2014/main" id="{760E9BB6-650F-1AC8-992D-407DCA3A54C5}"/>
            </a:ext>
          </a:extLst>
        </xdr:cNvPr>
        <xdr:cNvSpPr txBox="1"/>
      </xdr:nvSpPr>
      <xdr:spPr>
        <a:xfrm>
          <a:off x="8620606" y="0"/>
          <a:ext cx="6746113" cy="2597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t>3</a:t>
          </a:r>
          <a:r>
            <a:rPr lang="en-GB" sz="3200" b="1" baseline="0"/>
            <a:t> </a:t>
          </a:r>
          <a:r>
            <a:rPr lang="en-GB" sz="3200" b="1"/>
            <a:t>Key Insights</a:t>
          </a:r>
        </a:p>
        <a:p>
          <a:r>
            <a:rPr lang="en-GB" sz="2800" b="1"/>
            <a:t>Income Influence:</a:t>
          </a:r>
          <a:r>
            <a:rPr lang="en-GB" sz="2800"/>
            <a:t> Buyers earn an average of </a:t>
          </a:r>
          <a:r>
            <a:rPr lang="en-GB" sz="2800" b="1"/>
            <a:t>Ksh 57,475</a:t>
          </a:r>
          <a:r>
            <a:rPr lang="en-GB" sz="2800"/>
            <a:t>, which is higher than non-buyers (Ksh 55,028). Male buyers represent the highest earners at </a:t>
          </a:r>
          <a:r>
            <a:rPr lang="en-GB" sz="2800" b="1"/>
            <a:t>Ksh 59,603</a:t>
          </a:r>
          <a:r>
            <a:rPr lang="en-GB" sz="2800"/>
            <a:t>.</a:t>
          </a:r>
        </a:p>
        <a:p>
          <a:endParaRPr lang="en-GB" sz="1800"/>
        </a:p>
        <a:p>
          <a:endParaRPr lang="en-KE" sz="1100"/>
        </a:p>
      </xdr:txBody>
    </xdr:sp>
    <xdr:clientData/>
  </xdr:twoCellAnchor>
  <xdr:twoCellAnchor editAs="oneCell">
    <xdr:from>
      <xdr:col>36</xdr:col>
      <xdr:colOff>96212</xdr:colOff>
      <xdr:row>13</xdr:row>
      <xdr:rowOff>173181</xdr:rowOff>
    </xdr:from>
    <xdr:to>
      <xdr:col>46</xdr:col>
      <xdr:colOff>596515</xdr:colOff>
      <xdr:row>39</xdr:row>
      <xdr:rowOff>57728</xdr:rowOff>
    </xdr:to>
    <xdr:pic>
      <xdr:nvPicPr>
        <xdr:cNvPr id="7" name="Picture 6">
          <a:extLst>
            <a:ext uri="{FF2B5EF4-FFF2-40B4-BE49-F238E27FC236}">
              <a16:creationId xmlns:a16="http://schemas.microsoft.com/office/drawing/2014/main" id="{9327CB67-B3F7-385A-5F3A-4E18ADCE74E5}"/>
            </a:ext>
          </a:extLst>
        </xdr:cNvPr>
        <xdr:cNvPicPr>
          <a:picLocks noChangeAspect="1"/>
        </xdr:cNvPicPr>
      </xdr:nvPicPr>
      <xdr:blipFill>
        <a:blip xmlns:r="http://schemas.openxmlformats.org/officeDocument/2006/relationships" r:embed="rId1"/>
        <a:stretch>
          <a:fillRect/>
        </a:stretch>
      </xdr:blipFill>
      <xdr:spPr>
        <a:xfrm>
          <a:off x="22263485" y="2674696"/>
          <a:ext cx="6657878" cy="4887577"/>
        </a:xfrm>
        <a:prstGeom prst="rect">
          <a:avLst/>
        </a:prstGeom>
        <a:ln>
          <a:solidFill>
            <a:schemeClr val="tx1"/>
          </a:solidFill>
        </a:ln>
      </xdr:spPr>
    </xdr:pic>
    <xdr:clientData/>
  </xdr:twoCellAnchor>
  <xdr:twoCellAnchor editAs="oneCell">
    <xdr:from>
      <xdr:col>25</xdr:col>
      <xdr:colOff>57727</xdr:colOff>
      <xdr:row>13</xdr:row>
      <xdr:rowOff>177407</xdr:rowOff>
    </xdr:from>
    <xdr:to>
      <xdr:col>36</xdr:col>
      <xdr:colOff>0</xdr:colOff>
      <xdr:row>39</xdr:row>
      <xdr:rowOff>76970</xdr:rowOff>
    </xdr:to>
    <xdr:pic>
      <xdr:nvPicPr>
        <xdr:cNvPr id="8" name="Picture 7">
          <a:extLst>
            <a:ext uri="{FF2B5EF4-FFF2-40B4-BE49-F238E27FC236}">
              <a16:creationId xmlns:a16="http://schemas.microsoft.com/office/drawing/2014/main" id="{CCCBE938-2C52-FDAA-C3A6-F76A3D1F291D}"/>
            </a:ext>
          </a:extLst>
        </xdr:cNvPr>
        <xdr:cNvPicPr>
          <a:picLocks noChangeAspect="1"/>
        </xdr:cNvPicPr>
      </xdr:nvPicPr>
      <xdr:blipFill>
        <a:blip xmlns:r="http://schemas.openxmlformats.org/officeDocument/2006/relationships" r:embed="rId2"/>
        <a:stretch>
          <a:fillRect/>
        </a:stretch>
      </xdr:blipFill>
      <xdr:spPr>
        <a:xfrm>
          <a:off x="15451666" y="2678922"/>
          <a:ext cx="6715607" cy="4902593"/>
        </a:xfrm>
        <a:prstGeom prst="rect">
          <a:avLst/>
        </a:prstGeom>
        <a:ln>
          <a:solidFill>
            <a:schemeClr val="tx1"/>
          </a:solidFill>
        </a:ln>
      </xdr:spPr>
    </xdr:pic>
    <xdr:clientData/>
  </xdr:twoCellAnchor>
  <xdr:twoCellAnchor editAs="oneCell">
    <xdr:from>
      <xdr:col>14</xdr:col>
      <xdr:colOff>19243</xdr:colOff>
      <xdr:row>13</xdr:row>
      <xdr:rowOff>158163</xdr:rowOff>
    </xdr:from>
    <xdr:to>
      <xdr:col>24</xdr:col>
      <xdr:colOff>596515</xdr:colOff>
      <xdr:row>39</xdr:row>
      <xdr:rowOff>96214</xdr:rowOff>
    </xdr:to>
    <xdr:pic>
      <xdr:nvPicPr>
        <xdr:cNvPr id="9" name="Picture 8">
          <a:extLst>
            <a:ext uri="{FF2B5EF4-FFF2-40B4-BE49-F238E27FC236}">
              <a16:creationId xmlns:a16="http://schemas.microsoft.com/office/drawing/2014/main" id="{188D705E-EA31-EA7B-308A-FDDE3C30F7C1}"/>
            </a:ext>
          </a:extLst>
        </xdr:cNvPr>
        <xdr:cNvPicPr>
          <a:picLocks noChangeAspect="1"/>
        </xdr:cNvPicPr>
      </xdr:nvPicPr>
      <xdr:blipFill>
        <a:blip xmlns:r="http://schemas.openxmlformats.org/officeDocument/2006/relationships" r:embed="rId3"/>
        <a:stretch>
          <a:fillRect/>
        </a:stretch>
      </xdr:blipFill>
      <xdr:spPr>
        <a:xfrm>
          <a:off x="8639849" y="2659678"/>
          <a:ext cx="6734848" cy="4941081"/>
        </a:xfrm>
        <a:prstGeom prst="rect">
          <a:avLst/>
        </a:prstGeom>
        <a:ln>
          <a:solidFill>
            <a:schemeClr val="tx1"/>
          </a:solidFill>
        </a:ln>
      </xdr:spPr>
    </xdr:pic>
    <xdr:clientData/>
  </xdr:twoCellAnchor>
  <xdr:twoCellAnchor editAs="oneCell">
    <xdr:from>
      <xdr:col>18</xdr:col>
      <xdr:colOff>500305</xdr:colOff>
      <xdr:row>44</xdr:row>
      <xdr:rowOff>19709</xdr:rowOff>
    </xdr:from>
    <xdr:to>
      <xdr:col>26</xdr:col>
      <xdr:colOff>64000</xdr:colOff>
      <xdr:row>62</xdr:row>
      <xdr:rowOff>57727</xdr:rowOff>
    </xdr:to>
    <xdr:pic>
      <xdr:nvPicPr>
        <xdr:cNvPr id="10" name="Picture 9">
          <a:extLst>
            <a:ext uri="{FF2B5EF4-FFF2-40B4-BE49-F238E27FC236}">
              <a16:creationId xmlns:a16="http://schemas.microsoft.com/office/drawing/2014/main" id="{FAB30D2D-AB94-E9F3-6757-FA39E1BFDDF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83941" y="8486376"/>
          <a:ext cx="4489756" cy="3501654"/>
        </a:xfrm>
        <a:prstGeom prst="rect">
          <a:avLst/>
        </a:prstGeom>
        <a:ln>
          <a:solidFill>
            <a:schemeClr val="tx1"/>
          </a:solidFill>
        </a:ln>
      </xdr:spPr>
    </xdr:pic>
    <xdr:clientData/>
  </xdr:twoCellAnchor>
  <xdr:twoCellAnchor>
    <xdr:from>
      <xdr:col>47</xdr:col>
      <xdr:colOff>83757</xdr:colOff>
      <xdr:row>0</xdr:row>
      <xdr:rowOff>0</xdr:rowOff>
    </xdr:from>
    <xdr:to>
      <xdr:col>57</xdr:col>
      <xdr:colOff>461818</xdr:colOff>
      <xdr:row>54</xdr:row>
      <xdr:rowOff>134697</xdr:rowOff>
    </xdr:to>
    <xdr:sp macro="" textlink="">
      <xdr:nvSpPr>
        <xdr:cNvPr id="13" name="TextBox 12">
          <a:extLst>
            <a:ext uri="{FF2B5EF4-FFF2-40B4-BE49-F238E27FC236}">
              <a16:creationId xmlns:a16="http://schemas.microsoft.com/office/drawing/2014/main" id="{801D54E7-9DF9-F044-5E64-98D45335C572}"/>
            </a:ext>
          </a:extLst>
        </xdr:cNvPr>
        <xdr:cNvSpPr txBox="1"/>
      </xdr:nvSpPr>
      <xdr:spPr>
        <a:xfrm>
          <a:off x="29024363" y="0"/>
          <a:ext cx="6535637" cy="105256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3200" b="1" i="0" u="none" strike="noStrike" kern="0" cap="none" spc="0" normalizeH="0" baseline="0" noProof="0">
              <a:ln>
                <a:noFill/>
              </a:ln>
              <a:solidFill>
                <a:prstClr val="black"/>
              </a:solidFill>
              <a:effectLst/>
              <a:uLnTx/>
              <a:uFillTx/>
              <a:latin typeface="+mn-lt"/>
              <a:ea typeface="+mn-ea"/>
              <a:cs typeface="+mn-cs"/>
            </a:rPr>
            <a:t>4 Final Dashboard</a:t>
          </a:r>
          <a:endParaRPr kumimoji="0" lang="en-KE" sz="3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2800" b="0" i="0" u="none" strike="noStrike" kern="0" cap="none" spc="0" normalizeH="0" baseline="0" noProof="0">
              <a:ln>
                <a:noFill/>
              </a:ln>
              <a:solidFill>
                <a:prstClr val="black"/>
              </a:solidFill>
              <a:effectLst/>
              <a:uLnTx/>
              <a:uFillTx/>
              <a:latin typeface="+mn-lt"/>
              <a:ea typeface="+mn-ea"/>
              <a:cs typeface="+mn-cs"/>
            </a:rPr>
            <a:t>The "Dashboard" tab contains interactive visualizations.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KE" sz="28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2800" b="0" i="0" u="none" strike="noStrike" kern="0" cap="none" spc="0" normalizeH="0" baseline="0" noProof="0">
              <a:ln>
                <a:noFill/>
              </a:ln>
              <a:solidFill>
                <a:prstClr val="black"/>
              </a:solidFill>
              <a:effectLst/>
              <a:uLnTx/>
              <a:uFillTx/>
              <a:latin typeface="+mn-lt"/>
              <a:ea typeface="+mn-ea"/>
              <a:cs typeface="+mn-cs"/>
            </a:rPr>
            <a:t>Use the </a:t>
          </a:r>
          <a:r>
            <a:rPr kumimoji="0" lang="en-GB" sz="2800" b="1" i="0" u="none" strike="noStrike" kern="0" cap="none" spc="0" normalizeH="0" baseline="0" noProof="0">
              <a:ln>
                <a:noFill/>
              </a:ln>
              <a:solidFill>
                <a:prstClr val="black"/>
              </a:solidFill>
              <a:effectLst/>
              <a:uLnTx/>
              <a:uFillTx/>
              <a:latin typeface="+mn-lt"/>
              <a:ea typeface="+mn-ea"/>
              <a:cs typeface="+mn-cs"/>
            </a:rPr>
            <a:t>Slicers</a:t>
          </a:r>
          <a:r>
            <a:rPr kumimoji="0" lang="en-GB" sz="2800" b="0" i="0" u="none" strike="noStrike" kern="0" cap="none" spc="0" normalizeH="0" baseline="0" noProof="0">
              <a:ln>
                <a:noFill/>
              </a:ln>
              <a:solidFill>
                <a:prstClr val="black"/>
              </a:solidFill>
              <a:effectLst/>
              <a:uLnTx/>
              <a:uFillTx/>
              <a:latin typeface="+mn-lt"/>
              <a:ea typeface="+mn-ea"/>
              <a:cs typeface="+mn-cs"/>
            </a:rPr>
            <a:t> on the left to filter the data by </a:t>
          </a:r>
          <a:r>
            <a:rPr kumimoji="0" lang="en-GB" sz="2800" b="1" i="0" u="none" strike="noStrike" kern="0" cap="none" spc="0" normalizeH="0" baseline="0" noProof="0">
              <a:ln>
                <a:noFill/>
              </a:ln>
              <a:solidFill>
                <a:prstClr val="black"/>
              </a:solidFill>
              <a:effectLst/>
              <a:uLnTx/>
              <a:uFillTx/>
              <a:latin typeface="+mn-lt"/>
              <a:ea typeface="+mn-ea"/>
              <a:cs typeface="+mn-cs"/>
            </a:rPr>
            <a:t>Region, Education,</a:t>
          </a:r>
          <a:r>
            <a:rPr kumimoji="0" lang="en-GB" sz="2800" b="0" i="0" u="none" strike="noStrike" kern="0" cap="none" spc="0" normalizeH="0" baseline="0" noProof="0">
              <a:ln>
                <a:noFill/>
              </a:ln>
              <a:solidFill>
                <a:prstClr val="black"/>
              </a:solidFill>
              <a:effectLst/>
              <a:uLnTx/>
              <a:uFillTx/>
              <a:latin typeface="+mn-lt"/>
              <a:ea typeface="+mn-ea"/>
              <a:cs typeface="+mn-cs"/>
            </a:rPr>
            <a:t> or </a:t>
          </a:r>
          <a:r>
            <a:rPr kumimoji="0" lang="en-GB" sz="2800" b="1" i="0" u="none" strike="noStrike" kern="0" cap="none" spc="0" normalizeH="0" baseline="0" noProof="0">
              <a:ln>
                <a:noFill/>
              </a:ln>
              <a:solidFill>
                <a:prstClr val="black"/>
              </a:solidFill>
              <a:effectLst/>
              <a:uLnTx/>
              <a:uFillTx/>
              <a:latin typeface="+mn-lt"/>
              <a:ea typeface="+mn-ea"/>
              <a:cs typeface="+mn-cs"/>
            </a:rPr>
            <a:t>Marital Status</a:t>
          </a:r>
          <a:r>
            <a:rPr kumimoji="0" lang="en-GB" sz="2800" b="0" i="0" u="none" strike="noStrike" kern="0" cap="none" spc="0" normalizeH="0" baseline="0" noProof="0">
              <a:ln>
                <a:noFill/>
              </a:ln>
              <a:solidFill>
                <a:prstClr val="black"/>
              </a:solidFill>
              <a:effectLst/>
              <a:uLnTx/>
              <a:uFillTx/>
              <a:latin typeface="+mn-lt"/>
              <a:ea typeface="+mn-ea"/>
              <a:cs typeface="+mn-cs"/>
            </a:rPr>
            <a:t>.</a:t>
          </a:r>
          <a:endParaRPr kumimoji="0" lang="en-KE" sz="28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2800" b="0" i="0" u="none" strike="noStrike" kern="0" cap="none" spc="0" normalizeH="0" baseline="0" noProof="0">
              <a:ln>
                <a:noFill/>
              </a:ln>
              <a:solidFill>
                <a:prstClr val="black"/>
              </a:solidFill>
              <a:effectLst/>
              <a:uLnTx/>
              <a:uFillTx/>
              <a:latin typeface="+mn-lt"/>
              <a:ea typeface="+mn-ea"/>
              <a:cs typeface="+mn-cs"/>
            </a:rPr>
            <a:t>All charts will update automatically to reflect your selection.</a:t>
          </a:r>
          <a:endParaRPr kumimoji="0" lang="en-KE" sz="2800" b="0" i="0" u="none" strike="noStrike" kern="0" cap="none" spc="0" normalizeH="0" baseline="0" noProof="0">
            <a:ln>
              <a:noFill/>
            </a:ln>
            <a:solidFill>
              <a:prstClr val="black"/>
            </a:solidFill>
            <a:effectLst/>
            <a:uLnTx/>
            <a:uFillTx/>
            <a:latin typeface="+mn-lt"/>
            <a:ea typeface="+mn-ea"/>
            <a:cs typeface="+mn-cs"/>
          </a:endParaRPr>
        </a:p>
        <a:p>
          <a:pPr algn="ctr"/>
          <a:endParaRPr lang="en-GB" sz="3200" b="1"/>
        </a:p>
        <a:p>
          <a:pPr algn="ctr"/>
          <a:endParaRPr lang="en-GB" sz="3200" b="1"/>
        </a:p>
        <a:p>
          <a:pPr algn="ctr"/>
          <a:r>
            <a:rPr lang="en-GB" sz="3200" b="1"/>
            <a:t>5 Strategic Recommendations</a:t>
          </a:r>
        </a:p>
        <a:p>
          <a:pPr algn="ctr"/>
          <a:endParaRPr lang="en-GB" sz="2400" b="1"/>
        </a:p>
        <a:p>
          <a:r>
            <a:rPr lang="en-GB" sz="2800" b="1"/>
            <a:t>Focus Marketing:</a:t>
          </a:r>
          <a:r>
            <a:rPr lang="en-GB" sz="2800"/>
            <a:t> Target the 31-54 age group with an income of </a:t>
          </a:r>
          <a:r>
            <a:rPr lang="en-GB" sz="2800" b="1"/>
            <a:t>Ksh 55k–Ksh 65k</a:t>
          </a:r>
          <a:r>
            <a:rPr lang="en-GB" sz="2800"/>
            <a:t>.</a:t>
          </a:r>
        </a:p>
        <a:p>
          <a:endParaRPr lang="en-GB" sz="2800"/>
        </a:p>
        <a:p>
          <a:r>
            <a:rPr lang="en-GB" sz="2800" b="1"/>
            <a:t>Short-Commute Ads:</a:t>
          </a:r>
          <a:r>
            <a:rPr lang="en-GB" sz="2800"/>
            <a:t> Focus local advertising on neighborhoods within 2 miles of major business hubs.</a:t>
          </a:r>
        </a:p>
        <a:p>
          <a:endParaRPr lang="en-GB" sz="2800"/>
        </a:p>
        <a:p>
          <a:r>
            <a:rPr lang="en-GB" sz="2800" b="1"/>
            <a:t>Product Pivot:</a:t>
          </a:r>
          <a:r>
            <a:rPr lang="en-GB" sz="2800"/>
            <a:t> Consider e-bikes for long-distance commuters to address the drop-off in sales for commutes over 10 miles.</a:t>
          </a:r>
        </a:p>
        <a:p>
          <a:pPr algn="ctr"/>
          <a:endParaRPr lang="en-GB" sz="2800"/>
        </a:p>
        <a:p>
          <a:endParaRPr lang="en-KE" sz="1100"/>
        </a:p>
      </xdr:txBody>
    </xdr:sp>
    <xdr:clientData/>
  </xdr:twoCellAnchor>
  <xdr:twoCellAnchor>
    <xdr:from>
      <xdr:col>25</xdr:col>
      <xdr:colOff>38487</xdr:colOff>
      <xdr:row>0</xdr:row>
      <xdr:rowOff>0</xdr:rowOff>
    </xdr:from>
    <xdr:to>
      <xdr:col>35</xdr:col>
      <xdr:colOff>596517</xdr:colOff>
      <xdr:row>13</xdr:row>
      <xdr:rowOff>96212</xdr:rowOff>
    </xdr:to>
    <xdr:sp macro="" textlink="">
      <xdr:nvSpPr>
        <xdr:cNvPr id="14" name="TextBox 13">
          <a:extLst>
            <a:ext uri="{FF2B5EF4-FFF2-40B4-BE49-F238E27FC236}">
              <a16:creationId xmlns:a16="http://schemas.microsoft.com/office/drawing/2014/main" id="{9E99C703-9931-73AD-D56D-C104B272D457}"/>
            </a:ext>
          </a:extLst>
        </xdr:cNvPr>
        <xdr:cNvSpPr txBox="1"/>
      </xdr:nvSpPr>
      <xdr:spPr>
        <a:xfrm>
          <a:off x="15432426" y="0"/>
          <a:ext cx="6715606" cy="2597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200" b="1">
              <a:solidFill>
                <a:schemeClr val="dk1"/>
              </a:solidFill>
              <a:effectLst/>
              <a:latin typeface="+mn-lt"/>
              <a:ea typeface="+mn-ea"/>
              <a:cs typeface="+mn-cs"/>
            </a:rPr>
            <a:t>3</a:t>
          </a:r>
          <a:r>
            <a:rPr lang="en-GB" sz="3200" b="1" baseline="0">
              <a:solidFill>
                <a:schemeClr val="dk1"/>
              </a:solidFill>
              <a:effectLst/>
              <a:latin typeface="+mn-lt"/>
              <a:ea typeface="+mn-ea"/>
              <a:cs typeface="+mn-cs"/>
            </a:rPr>
            <a:t> </a:t>
          </a:r>
          <a:r>
            <a:rPr lang="en-GB" sz="3200" b="1">
              <a:solidFill>
                <a:schemeClr val="dk1"/>
              </a:solidFill>
              <a:effectLst/>
              <a:latin typeface="+mn-lt"/>
              <a:ea typeface="+mn-ea"/>
              <a:cs typeface="+mn-cs"/>
            </a:rPr>
            <a:t>Key Insights</a:t>
          </a:r>
          <a:endParaRPr lang="en-GB" sz="1100" b="1">
            <a:solidFill>
              <a:schemeClr val="dk1"/>
            </a:solidFill>
            <a:effectLst/>
            <a:latin typeface="+mn-lt"/>
            <a:ea typeface="+mn-ea"/>
            <a:cs typeface="+mn-cs"/>
          </a:endParaRPr>
        </a:p>
        <a:p>
          <a:r>
            <a:rPr lang="en-GB" sz="2800" b="1">
              <a:solidFill>
                <a:schemeClr val="dk1"/>
              </a:solidFill>
              <a:effectLst/>
              <a:latin typeface="+mn-lt"/>
              <a:ea typeface="+mn-ea"/>
              <a:cs typeface="+mn-cs"/>
            </a:rPr>
            <a:t>Commute Patterns:</a:t>
          </a:r>
          <a:r>
            <a:rPr lang="en-GB" sz="2800">
              <a:solidFill>
                <a:schemeClr val="dk1"/>
              </a:solidFill>
              <a:effectLst/>
              <a:latin typeface="+mn-lt"/>
              <a:ea typeface="+mn-ea"/>
              <a:cs typeface="+mn-cs"/>
            </a:rPr>
            <a:t> Distance is a major factor. Customers living within </a:t>
          </a:r>
          <a:r>
            <a:rPr lang="en-GB" sz="2800" b="1">
              <a:solidFill>
                <a:schemeClr val="dk1"/>
              </a:solidFill>
              <a:effectLst/>
              <a:latin typeface="+mn-lt"/>
              <a:ea typeface="+mn-ea"/>
              <a:cs typeface="+mn-cs"/>
            </a:rPr>
            <a:t>0-1 miles</a:t>
          </a:r>
          <a:r>
            <a:rPr lang="en-GB" sz="2800">
              <a:solidFill>
                <a:schemeClr val="dk1"/>
              </a:solidFill>
              <a:effectLst/>
              <a:latin typeface="+mn-lt"/>
              <a:ea typeface="+mn-ea"/>
              <a:cs typeface="+mn-cs"/>
            </a:rPr>
            <a:t> of work purchased 207 bikes, while those over 10 miles purchased only 33.</a:t>
          </a:r>
          <a:endParaRPr lang="en-KE" sz="2800">
            <a:effectLst/>
          </a:endParaRPr>
        </a:p>
        <a:p>
          <a:endParaRPr lang="en-KE" sz="1100"/>
        </a:p>
      </xdr:txBody>
    </xdr:sp>
    <xdr:clientData/>
  </xdr:twoCellAnchor>
  <xdr:twoCellAnchor>
    <xdr:from>
      <xdr:col>36</xdr:col>
      <xdr:colOff>38484</xdr:colOff>
      <xdr:row>0</xdr:row>
      <xdr:rowOff>0</xdr:rowOff>
    </xdr:from>
    <xdr:to>
      <xdr:col>46</xdr:col>
      <xdr:colOff>596516</xdr:colOff>
      <xdr:row>13</xdr:row>
      <xdr:rowOff>76970</xdr:rowOff>
    </xdr:to>
    <xdr:sp macro="" textlink="">
      <xdr:nvSpPr>
        <xdr:cNvPr id="15" name="TextBox 14">
          <a:extLst>
            <a:ext uri="{FF2B5EF4-FFF2-40B4-BE49-F238E27FC236}">
              <a16:creationId xmlns:a16="http://schemas.microsoft.com/office/drawing/2014/main" id="{42DA30A8-B305-DE9C-4517-F418A6174636}"/>
            </a:ext>
          </a:extLst>
        </xdr:cNvPr>
        <xdr:cNvSpPr txBox="1"/>
      </xdr:nvSpPr>
      <xdr:spPr>
        <a:xfrm>
          <a:off x="22205757" y="0"/>
          <a:ext cx="6715607" cy="2578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200" b="1">
              <a:solidFill>
                <a:schemeClr val="dk1"/>
              </a:solidFill>
              <a:effectLst/>
              <a:latin typeface="+mn-lt"/>
              <a:ea typeface="+mn-ea"/>
              <a:cs typeface="+mn-cs"/>
            </a:rPr>
            <a:t>3</a:t>
          </a:r>
          <a:r>
            <a:rPr lang="en-GB" sz="3200" b="1" baseline="0">
              <a:solidFill>
                <a:schemeClr val="dk1"/>
              </a:solidFill>
              <a:effectLst/>
              <a:latin typeface="+mn-lt"/>
              <a:ea typeface="+mn-ea"/>
              <a:cs typeface="+mn-cs"/>
            </a:rPr>
            <a:t> </a:t>
          </a:r>
          <a:r>
            <a:rPr lang="en-GB" sz="3200" b="1">
              <a:solidFill>
                <a:schemeClr val="dk1"/>
              </a:solidFill>
              <a:effectLst/>
              <a:latin typeface="+mn-lt"/>
              <a:ea typeface="+mn-ea"/>
              <a:cs typeface="+mn-cs"/>
            </a:rPr>
            <a:t>Key Insights</a:t>
          </a:r>
        </a:p>
        <a:p>
          <a:pPr marL="0" marR="0" lvl="0" indent="0" defTabSz="914400" eaLnBrk="1" fontAlgn="auto" latinLnBrk="0" hangingPunct="1">
            <a:lnSpc>
              <a:spcPct val="100000"/>
            </a:lnSpc>
            <a:spcBef>
              <a:spcPts val="0"/>
            </a:spcBef>
            <a:spcAft>
              <a:spcPts val="0"/>
            </a:spcAft>
            <a:buClrTx/>
            <a:buSzTx/>
            <a:buFontTx/>
            <a:buNone/>
            <a:tabLst/>
            <a:defRPr/>
          </a:pPr>
          <a:r>
            <a:rPr lang="en-GB" sz="2800" b="1">
              <a:solidFill>
                <a:schemeClr val="dk1"/>
              </a:solidFill>
              <a:effectLst/>
              <a:latin typeface="+mn-lt"/>
              <a:ea typeface="+mn-ea"/>
              <a:cs typeface="+mn-cs"/>
            </a:rPr>
            <a:t>Top Demographic:</a:t>
          </a:r>
          <a:r>
            <a:rPr lang="en-GB" sz="2800">
              <a:solidFill>
                <a:schemeClr val="dk1"/>
              </a:solidFill>
              <a:effectLst/>
              <a:latin typeface="+mn-lt"/>
              <a:ea typeface="+mn-ea"/>
              <a:cs typeface="+mn-cs"/>
            </a:rPr>
            <a:t> The </a:t>
          </a:r>
          <a:r>
            <a:rPr lang="en-GB" sz="2800" b="1">
              <a:solidFill>
                <a:schemeClr val="dk1"/>
              </a:solidFill>
              <a:effectLst/>
              <a:latin typeface="+mn-lt"/>
              <a:ea typeface="+mn-ea"/>
              <a:cs typeface="+mn-cs"/>
            </a:rPr>
            <a:t>Middle Age</a:t>
          </a:r>
          <a:r>
            <a:rPr lang="en-GB" sz="2800">
              <a:solidFill>
                <a:schemeClr val="dk1"/>
              </a:solidFill>
              <a:effectLst/>
              <a:latin typeface="+mn-lt"/>
              <a:ea typeface="+mn-ea"/>
              <a:cs typeface="+mn-cs"/>
            </a:rPr>
            <a:t> bracket (31-54) is the most profitable, making up nearly 80% of all sales.</a:t>
          </a:r>
          <a:endParaRPr lang="en-KE" sz="2800">
            <a:effectLst/>
          </a:endParaRPr>
        </a:p>
        <a:p>
          <a:endParaRPr lang="en-KE" sz="1100"/>
        </a:p>
      </xdr:txBody>
    </xdr:sp>
    <xdr:clientData/>
  </xdr:twoCellAnchor>
  <xdr:twoCellAnchor>
    <xdr:from>
      <xdr:col>0</xdr:col>
      <xdr:colOff>1</xdr:colOff>
      <xdr:row>0</xdr:row>
      <xdr:rowOff>57726</xdr:rowOff>
    </xdr:from>
    <xdr:to>
      <xdr:col>12</xdr:col>
      <xdr:colOff>538788</xdr:colOff>
      <xdr:row>13</xdr:row>
      <xdr:rowOff>173182</xdr:rowOff>
    </xdr:to>
    <xdr:sp macro="" textlink="">
      <xdr:nvSpPr>
        <xdr:cNvPr id="16" name="TextBox 15">
          <a:extLst>
            <a:ext uri="{FF2B5EF4-FFF2-40B4-BE49-F238E27FC236}">
              <a16:creationId xmlns:a16="http://schemas.microsoft.com/office/drawing/2014/main" id="{ABABAB38-0417-9BE2-A76E-1825753220A0}"/>
            </a:ext>
          </a:extLst>
        </xdr:cNvPr>
        <xdr:cNvSpPr txBox="1"/>
      </xdr:nvSpPr>
      <xdr:spPr>
        <a:xfrm>
          <a:off x="1" y="57726"/>
          <a:ext cx="7927878" cy="2616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i="0">
              <a:solidFill>
                <a:schemeClr val="dk1"/>
              </a:solidFill>
              <a:effectLst/>
              <a:latin typeface="+mn-lt"/>
              <a:ea typeface="+mn-ea"/>
              <a:cs typeface="+mn-cs"/>
            </a:rPr>
            <a:t>Bike Sales Analysis Report</a:t>
          </a:r>
          <a:endParaRPr lang="en-KE" sz="3200">
            <a:effectLst/>
          </a:endParaRPr>
        </a:p>
        <a:p>
          <a:r>
            <a:rPr lang="en-GB" sz="2800" i="0">
              <a:solidFill>
                <a:schemeClr val="dk1"/>
              </a:solidFill>
              <a:effectLst/>
              <a:latin typeface="+mn-lt"/>
              <a:ea typeface="+mn-ea"/>
              <a:cs typeface="+mn-cs"/>
            </a:rPr>
            <a:t>Prepared by: </a:t>
          </a:r>
          <a:r>
            <a:rPr lang="en-GB" sz="2800" b="1" i="0">
              <a:solidFill>
                <a:schemeClr val="dk1"/>
              </a:solidFill>
              <a:effectLst/>
              <a:latin typeface="+mn-lt"/>
              <a:ea typeface="+mn-ea"/>
              <a:cs typeface="+mn-cs"/>
            </a:rPr>
            <a:t>Michael Maina Mwangi</a:t>
          </a:r>
          <a:endParaRPr lang="en-KE" sz="2800">
            <a:effectLst/>
          </a:endParaRPr>
        </a:p>
        <a:p>
          <a:r>
            <a:rPr lang="en-GB" sz="2800" i="0">
              <a:solidFill>
                <a:schemeClr val="dk1"/>
              </a:solidFill>
              <a:effectLst/>
              <a:latin typeface="+mn-lt"/>
              <a:ea typeface="+mn-ea"/>
              <a:cs typeface="+mn-cs"/>
            </a:rPr>
            <a:t>Project Objective: To identify key demographics and environmental factors that influence a customer's decision to purchase a bike.</a:t>
          </a:r>
          <a:endParaRPr lang="en-KE" sz="2800">
            <a:effectLst/>
          </a:endParaRPr>
        </a:p>
        <a:p>
          <a:endParaRPr lang="en-KE" sz="1100"/>
        </a:p>
      </xdr:txBody>
    </xdr:sp>
    <xdr:clientData/>
  </xdr:twoCellAnchor>
  <xdr:twoCellAnchor editAs="oneCell">
    <xdr:from>
      <xdr:col>13</xdr:col>
      <xdr:colOff>211668</xdr:colOff>
      <xdr:row>43</xdr:row>
      <xdr:rowOff>173183</xdr:rowOff>
    </xdr:from>
    <xdr:to>
      <xdr:col>18</xdr:col>
      <xdr:colOff>461818</xdr:colOff>
      <xdr:row>62</xdr:row>
      <xdr:rowOff>38486</xdr:rowOff>
    </xdr:to>
    <xdr:pic>
      <xdr:nvPicPr>
        <xdr:cNvPr id="18" name="Picture 17">
          <a:extLst>
            <a:ext uri="{FF2B5EF4-FFF2-40B4-BE49-F238E27FC236}">
              <a16:creationId xmlns:a16="http://schemas.microsoft.com/office/drawing/2014/main" id="{FA3258BB-6C30-266F-32DB-D6198E8ECC0A}"/>
            </a:ext>
          </a:extLst>
        </xdr:cNvPr>
        <xdr:cNvPicPr>
          <a:picLocks noChangeAspect="1"/>
        </xdr:cNvPicPr>
      </xdr:nvPicPr>
      <xdr:blipFill>
        <a:blip xmlns:r="http://schemas.openxmlformats.org/officeDocument/2006/relationships" r:embed="rId5"/>
        <a:stretch>
          <a:fillRect/>
        </a:stretch>
      </xdr:blipFill>
      <xdr:spPr>
        <a:xfrm>
          <a:off x="8216516" y="8447425"/>
          <a:ext cx="3328938" cy="3521364"/>
        </a:xfrm>
        <a:prstGeom prst="rect">
          <a:avLst/>
        </a:prstGeom>
      </xdr:spPr>
    </xdr:pic>
    <xdr:clientData/>
  </xdr:twoCellAnchor>
  <xdr:twoCellAnchor>
    <xdr:from>
      <xdr:col>39</xdr:col>
      <xdr:colOff>596513</xdr:colOff>
      <xdr:row>40</xdr:row>
      <xdr:rowOff>115454</xdr:rowOff>
    </xdr:from>
    <xdr:to>
      <xdr:col>44</xdr:col>
      <xdr:colOff>461818</xdr:colOff>
      <xdr:row>50</xdr:row>
      <xdr:rowOff>57728</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F67B686E-AC88-2B2F-53BD-E311C2EDF396}"/>
            </a:ext>
          </a:extLst>
        </xdr:cNvPr>
        <xdr:cNvSpPr/>
      </xdr:nvSpPr>
      <xdr:spPr>
        <a:xfrm>
          <a:off x="24611058" y="7812424"/>
          <a:ext cx="2944093" cy="186651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t>To Dashboard →</a:t>
          </a:r>
          <a:endParaRPr lang="en-KE" sz="3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603250</xdr:colOff>
      <xdr:row>1</xdr:row>
      <xdr:rowOff>0</xdr:rowOff>
    </xdr:from>
    <xdr:to>
      <xdr:col>12</xdr:col>
      <xdr:colOff>107950</xdr:colOff>
      <xdr:row>10</xdr:row>
      <xdr:rowOff>165100</xdr:rowOff>
    </xdr:to>
    <xdr:graphicFrame macro="">
      <xdr:nvGraphicFramePr>
        <xdr:cNvPr id="2" name="Chart 1">
          <a:extLst>
            <a:ext uri="{FF2B5EF4-FFF2-40B4-BE49-F238E27FC236}">
              <a16:creationId xmlns:a16="http://schemas.microsoft.com/office/drawing/2014/main" id="{78FA8B14-87DB-899E-F1AC-D4AE9CD8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13</xdr:row>
      <xdr:rowOff>6350</xdr:rowOff>
    </xdr:from>
    <xdr:to>
      <xdr:col>13</xdr:col>
      <xdr:colOff>120650</xdr:colOff>
      <xdr:row>24</xdr:row>
      <xdr:rowOff>152400</xdr:rowOff>
    </xdr:to>
    <xdr:graphicFrame macro="">
      <xdr:nvGraphicFramePr>
        <xdr:cNvPr id="3" name="Chart 2">
          <a:extLst>
            <a:ext uri="{FF2B5EF4-FFF2-40B4-BE49-F238E27FC236}">
              <a16:creationId xmlns:a16="http://schemas.microsoft.com/office/drawing/2014/main" id="{0BF4D570-7574-D554-8EAB-567A32953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400050</xdr:colOff>
      <xdr:row>26</xdr:row>
      <xdr:rowOff>107950</xdr:rowOff>
    </xdr:from>
    <xdr:to>
      <xdr:col>12</xdr:col>
      <xdr:colOff>387350</xdr:colOff>
      <xdr:row>38</xdr:row>
      <xdr:rowOff>101600</xdr:rowOff>
    </xdr:to>
    <xdr:graphicFrame macro="">
      <xdr:nvGraphicFramePr>
        <xdr:cNvPr id="4" name="Chart 3">
          <a:extLst>
            <a:ext uri="{FF2B5EF4-FFF2-40B4-BE49-F238E27FC236}">
              <a16:creationId xmlns:a16="http://schemas.microsoft.com/office/drawing/2014/main" id="{53DAFE5A-039F-B95F-FB9E-A8859C1AB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177806</xdr:colOff>
      <xdr:row>43</xdr:row>
      <xdr:rowOff>6350</xdr:rowOff>
    </xdr:from>
    <xdr:to>
      <xdr:col>10</xdr:col>
      <xdr:colOff>330200</xdr:colOff>
      <xdr:row>58</xdr:row>
      <xdr:rowOff>133350</xdr:rowOff>
    </xdr:to>
    <xdr:graphicFrame macro="">
      <xdr:nvGraphicFramePr>
        <xdr:cNvPr id="5" name="Chart 4">
          <a:extLst>
            <a:ext uri="{FF2B5EF4-FFF2-40B4-BE49-F238E27FC236}">
              <a16:creationId xmlns:a16="http://schemas.microsoft.com/office/drawing/2014/main" id="{3388716D-1A92-A578-7833-B1920AFD8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84666</xdr:colOff>
      <xdr:row>6</xdr:row>
      <xdr:rowOff>38799</xdr:rowOff>
    </xdr:from>
    <xdr:to>
      <xdr:col>8</xdr:col>
      <xdr:colOff>578556</xdr:colOff>
      <xdr:row>22</xdr:row>
      <xdr:rowOff>169333</xdr:rowOff>
    </xdr:to>
    <xdr:graphicFrame macro="">
      <xdr:nvGraphicFramePr>
        <xdr:cNvPr id="2" name="Chart 1">
          <a:extLst>
            <a:ext uri="{FF2B5EF4-FFF2-40B4-BE49-F238E27FC236}">
              <a16:creationId xmlns:a16="http://schemas.microsoft.com/office/drawing/2014/main" id="{63880B33-1509-4F74-8171-522D398AB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81398</xdr:colOff>
      <xdr:row>23</xdr:row>
      <xdr:rowOff>53345</xdr:rowOff>
    </xdr:from>
    <xdr:to>
      <xdr:col>15</xdr:col>
      <xdr:colOff>28222</xdr:colOff>
      <xdr:row>39</xdr:row>
      <xdr:rowOff>37856</xdr:rowOff>
    </xdr:to>
    <xdr:graphicFrame macro="">
      <xdr:nvGraphicFramePr>
        <xdr:cNvPr id="3" name="Chart 2">
          <a:extLst>
            <a:ext uri="{FF2B5EF4-FFF2-40B4-BE49-F238E27FC236}">
              <a16:creationId xmlns:a16="http://schemas.microsoft.com/office/drawing/2014/main" id="{65C63941-0D3E-4A7F-B860-E3FE65C86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600925</xdr:colOff>
      <xdr:row>6</xdr:row>
      <xdr:rowOff>23917</xdr:rowOff>
    </xdr:from>
    <xdr:to>
      <xdr:col>15</xdr:col>
      <xdr:colOff>7055</xdr:colOff>
      <xdr:row>22</xdr:row>
      <xdr:rowOff>162278</xdr:rowOff>
    </xdr:to>
    <xdr:graphicFrame macro="">
      <xdr:nvGraphicFramePr>
        <xdr:cNvPr id="4" name="Chart 3">
          <a:extLst>
            <a:ext uri="{FF2B5EF4-FFF2-40B4-BE49-F238E27FC236}">
              <a16:creationId xmlns:a16="http://schemas.microsoft.com/office/drawing/2014/main" id="{0430457B-9F2C-4263-80DF-A078E14E5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26795</xdr:rowOff>
    </xdr:from>
    <xdr:to>
      <xdr:col>3</xdr:col>
      <xdr:colOff>15488</xdr:colOff>
      <xdr:row>11</xdr:row>
      <xdr:rowOff>77439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91CC725-55F1-72AE-2875-B3F7295EC57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7462"/>
              <a:ext cx="1835821" cy="96786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126225</xdr:rowOff>
    </xdr:from>
    <xdr:to>
      <xdr:col>3</xdr:col>
      <xdr:colOff>16727</xdr:colOff>
      <xdr:row>29</xdr:row>
      <xdr:rowOff>15488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C430646-142A-CD3F-E01F-000E35C6672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11669"/>
              <a:ext cx="1837060" cy="172370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184307</xdr:rowOff>
    </xdr:from>
    <xdr:to>
      <xdr:col>3</xdr:col>
      <xdr:colOff>16727</xdr:colOff>
      <xdr:row>19</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22FE597-E90F-8E38-4858-310CD693D5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02196"/>
              <a:ext cx="1837060" cy="12832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308587</xdr:colOff>
      <xdr:row>29</xdr:row>
      <xdr:rowOff>126629</xdr:rowOff>
    </xdr:from>
    <xdr:to>
      <xdr:col>2</xdr:col>
      <xdr:colOff>168217</xdr:colOff>
      <xdr:row>33</xdr:row>
      <xdr:rowOff>90237</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7CE99E9D-22CA-B75D-E2A9-810C10C9644C}"/>
            </a:ext>
          </a:extLst>
        </xdr:cNvPr>
        <xdr:cNvSpPr/>
      </xdr:nvSpPr>
      <xdr:spPr>
        <a:xfrm>
          <a:off x="308587" y="5446518"/>
          <a:ext cx="1073186" cy="69738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 To Summary</a:t>
          </a:r>
          <a:endParaRPr lang="en-KE" sz="16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Mwangi" refreshedDate="46072.385535763889" createdVersion="8" refreshedVersion="8" minRefreshableVersion="3" recordCount="1026" xr:uid="{CC3B2AEE-523F-4561-8721-BE8463AF8F4A}">
  <cacheSource type="worksheet">
    <worksheetSource ref="A1:N1027"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4">
        <s v="Middle Age"/>
        <s v="Old"/>
        <s v="Adole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910701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r>
    <m/>
    <x v="2"/>
    <x v="2"/>
    <m/>
    <m/>
    <x v="5"/>
    <m/>
    <m/>
    <m/>
    <x v="5"/>
    <x v="3"/>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E705D-81EC-427A-8E69-35332F5CF527}"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4:E100" firstHeaderRow="1" firstDataRow="2" firstDataCol="1"/>
  <pivotFields count="14">
    <pivotField showAll="0"/>
    <pivotField showAll="0">
      <items count="4">
        <item x="0"/>
        <item x="1"/>
        <item x="2"/>
        <item t="default"/>
      </items>
    </pivotField>
    <pivotField showAll="0"/>
    <pivotField numFmtId="168"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3"/>
  </colFields>
  <colItems count="4">
    <i>
      <x/>
    </i>
    <i>
      <x v="1"/>
    </i>
    <i>
      <x v="2"/>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AF0DC1-C708-4F8E-A8AC-E67E7D1D5655}"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E35" firstHeaderRow="1" firstDataRow="2" firstDataCol="1"/>
  <pivotFields count="14">
    <pivotField showAll="0"/>
    <pivotField showAll="0">
      <items count="4">
        <item x="0"/>
        <item x="1"/>
        <item x="2"/>
        <item t="default"/>
      </items>
    </pivotField>
    <pivotField showAll="0"/>
    <pivotField numFmtId="168"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axis="axisRow" showAll="0">
      <items count="5">
        <item x="2"/>
        <item x="0"/>
        <item x="1"/>
        <item x="3"/>
        <item t="default"/>
      </items>
    </pivotField>
    <pivotField axis="axisCol" dataField="1" showAll="0">
      <items count="4">
        <item x="0"/>
        <item x="1"/>
        <item x="2"/>
        <item t="default"/>
      </items>
    </pivotField>
  </pivotFields>
  <rowFields count="1">
    <field x="12"/>
  </rowFields>
  <rowItems count="5">
    <i>
      <x/>
    </i>
    <i>
      <x v="1"/>
    </i>
    <i>
      <x v="2"/>
    </i>
    <i>
      <x v="3"/>
    </i>
    <i t="grand">
      <x/>
    </i>
  </rowItems>
  <colFields count="1">
    <field x="13"/>
  </colFields>
  <colItems count="4">
    <i>
      <x/>
    </i>
    <i>
      <x v="1"/>
    </i>
    <i>
      <x v="2"/>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10AD53-A072-4646-AAEF-3359BC1695A8}"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5:E23" firstHeaderRow="1" firstDataRow="2" firstDataCol="1"/>
  <pivotFields count="14">
    <pivotField showAll="0"/>
    <pivotField showAll="0">
      <items count="4">
        <item x="0"/>
        <item x="1"/>
        <item x="2"/>
        <item t="default"/>
      </items>
    </pivotField>
    <pivotField showAll="0"/>
    <pivotField numFmtId="168" showAll="0"/>
    <pivotField showAll="0"/>
    <pivotField showAll="0">
      <items count="7">
        <item x="0"/>
        <item x="4"/>
        <item x="2"/>
        <item x="1"/>
        <item x="3"/>
        <item x="5"/>
        <item t="default"/>
      </items>
    </pivotField>
    <pivotField showAll="0"/>
    <pivotField showAll="0"/>
    <pivotField showAll="0"/>
    <pivotField axis="axisRow" showAll="0" sortType="ascending">
      <items count="8">
        <item x="0"/>
        <item m="1" x="6"/>
        <item x="3"/>
        <item x="1"/>
        <item x="2"/>
        <item x="4"/>
        <item x="5"/>
        <item t="default"/>
      </items>
    </pivotField>
    <pivotField showAll="0">
      <items count="5">
        <item x="0"/>
        <item x="2"/>
        <item x="1"/>
        <item x="3"/>
        <item t="default"/>
      </items>
    </pivotField>
    <pivotField showAll="0"/>
    <pivotField showAll="0"/>
    <pivotField axis="axisCol" dataField="1" showAll="0" countASubtotal="1">
      <items count="4">
        <item x="0"/>
        <item x="1"/>
        <item x="2"/>
        <item t="countA"/>
      </items>
    </pivotField>
  </pivotFields>
  <rowFields count="1">
    <field x="9"/>
  </rowFields>
  <rowItems count="7">
    <i>
      <x/>
    </i>
    <i>
      <x v="2"/>
    </i>
    <i>
      <x v="3"/>
    </i>
    <i>
      <x v="4"/>
    </i>
    <i>
      <x v="5"/>
    </i>
    <i>
      <x v="6"/>
    </i>
    <i t="grand">
      <x/>
    </i>
  </rowItems>
  <colFields count="1">
    <field x="13"/>
  </colFields>
  <colItems count="4">
    <i>
      <x/>
    </i>
    <i>
      <x v="1"/>
    </i>
    <i>
      <x v="2"/>
    </i>
    <i t="grand">
      <x/>
    </i>
  </colItems>
  <dataFields count="1">
    <dataField name="Count of Purchased Bike" fld="13" subtotal="count" baseField="0" baseItem="0"/>
  </dataFields>
  <chartFormats count="6">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2"/>
          </reference>
        </references>
      </pivotArea>
    </chartFormat>
    <chartFormat chart="16"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F2D72-9392-4831-9063-1F0CCEAF4DC9}"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numFmtId="168"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6">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2" format="2" series="1">
      <pivotArea type="data" outline="0" fieldPosition="0">
        <references count="2">
          <reference field="4294967294" count="1" selected="0">
            <x v="0"/>
          </reference>
          <reference field="13" count="1" selected="0">
            <x v="2"/>
          </reference>
        </references>
      </pivotArea>
    </chartFormat>
    <chartFormat chart="16"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A31F8EA-7DFC-4771-906D-8C27BCFA7E43}" sourceName="Marital Status">
  <pivotTables>
    <pivotTable tabId="3" name="PivotTable1"/>
    <pivotTable tabId="3" name="PivotTable2"/>
    <pivotTable tabId="3" name="PivotTable3"/>
    <pivotTable tabId="3" name="PivotTable5"/>
  </pivotTables>
  <data>
    <tabular pivotCacheId="1910701136">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B1E247E-1CFF-4210-B69C-C1EE3DF9CA5F}" sourceName="Education">
  <pivotTables>
    <pivotTable tabId="3" name="PivotTable1"/>
    <pivotTable tabId="3" name="PivotTable2"/>
    <pivotTable tabId="3" name="PivotTable3"/>
    <pivotTable tabId="3" name="PivotTable5"/>
  </pivotTables>
  <data>
    <tabular pivotCacheId="1910701136">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337059-742F-4F2F-85E1-BC2FD5C32CC7}" sourceName="Region">
  <pivotTables>
    <pivotTable tabId="3" name="PivotTable1"/>
    <pivotTable tabId="3" name="PivotTable2"/>
    <pivotTable tabId="3" name="PivotTable3"/>
    <pivotTable tabId="3" name="PivotTable5"/>
  </pivotTables>
  <data>
    <tabular pivotCacheId="1910701136">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CAB868-B84D-451A-B8FC-B3D8EE345B30}" cache="Slicer_Marital_Status" caption="Marital Status" rowHeight="241300"/>
  <slicer name="Education" xr10:uid="{458A518E-3844-4767-A7B3-5CF25E3862E8}" cache="Slicer_Education" caption="Education" rowHeight="241300"/>
  <slicer name="Region" xr10:uid="{A8A664D5-AA6D-4A64-A89A-1AB0A4C4532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AE87-75AA-4E9A-8AB0-77444C0349C1}">
  <dimension ref="A1"/>
  <sheetViews>
    <sheetView showGridLines="0" zoomScale="33" zoomScaleNormal="33" workbookViewId="0"/>
  </sheetViews>
  <sheetFormatPr defaultRowHeight="14.5" x14ac:dyDescent="0.35"/>
  <cols>
    <col min="1" max="16384" width="8.7265625" style="1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5" zoomScale="66" zoomScaleNormal="66" workbookViewId="0"/>
  </sheetViews>
  <sheetFormatPr defaultColWidth="11.90625" defaultRowHeight="14.5" x14ac:dyDescent="0.35"/>
  <cols>
    <col min="1" max="1" width="5.81640625" bestFit="1" customWidth="1"/>
    <col min="2" max="2" width="12.7265625" bestFit="1" customWidth="1"/>
    <col min="6" max="6" width="17" bestFit="1" customWidth="1"/>
    <col min="7" max="7" width="13.54296875" bestFit="1" customWidth="1"/>
    <col min="8" max="8" width="12.1796875" bestFit="1" customWidth="1"/>
    <col min="10" max="10" width="17.26953125"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4E036-485F-4C4E-A92A-781776888E0C}">
  <dimension ref="A1:N1027"/>
  <sheetViews>
    <sheetView zoomScaleNormal="100" workbookViewId="0">
      <pane ySplit="1" topLeftCell="A2" activePane="bottomLeft" state="frozen"/>
      <selection pane="bottomLeft" sqref="A1:XFD1"/>
    </sheetView>
  </sheetViews>
  <sheetFormatPr defaultRowHeight="14.5" x14ac:dyDescent="0.35"/>
  <cols>
    <col min="2" max="2" width="12.36328125" bestFit="1" customWidth="1"/>
    <col min="3" max="3" width="7" bestFit="1" customWidth="1"/>
    <col min="4" max="4" width="12.7265625" style="3" bestFit="1" customWidth="1"/>
    <col min="6" max="6" width="16.26953125" bestFit="1" customWidth="1"/>
    <col min="7" max="7" width="13" bestFit="1" customWidth="1"/>
    <col min="8" max="8" width="11.90625" bestFit="1" customWidth="1"/>
    <col min="10" max="10" width="16.6328125" bestFit="1" customWidth="1"/>
    <col min="11" max="11" width="13" bestFit="1" customWidth="1"/>
    <col min="13" max="13" width="13.6328125" bestFit="1" customWidth="1"/>
    <col min="14" max="14" width="13.4531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 IF(L2&gt;=31,"Middle Age", 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IF(L3&gt;54,"Old", IF(L3&gt;=31,"Middle Age", 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IF(L4&gt;54,"Old", IF(L4&gt;=31,"Middle Age", IF(L4&lt;31,"Adolescent","Invalid")))</f>
        <v>Old</v>
      </c>
      <c r="N4" t="s">
        <v>18</v>
      </c>
    </row>
    <row r="5" spans="1:14" x14ac:dyDescent="0.35">
      <c r="A5">
        <v>24381</v>
      </c>
      <c r="B5" t="s">
        <v>37</v>
      </c>
      <c r="C5" t="s">
        <v>39</v>
      </c>
      <c r="D5" s="3">
        <v>70000</v>
      </c>
      <c r="E5">
        <v>0</v>
      </c>
      <c r="F5" t="s">
        <v>13</v>
      </c>
      <c r="G5" t="s">
        <v>21</v>
      </c>
      <c r="H5" t="s">
        <v>15</v>
      </c>
      <c r="I5">
        <v>1</v>
      </c>
      <c r="J5" t="s">
        <v>23</v>
      </c>
      <c r="K5" t="s">
        <v>24</v>
      </c>
      <c r="L5">
        <v>41</v>
      </c>
      <c r="M5" t="str">
        <f>IF(L5&gt;54,"Old", IF(L5&gt;=31,"Middle Age", IF(L5&lt;31,"Adolescent","Invalid")))</f>
        <v>Middle Age</v>
      </c>
      <c r="N5" t="s">
        <v>15</v>
      </c>
    </row>
    <row r="6" spans="1:14" x14ac:dyDescent="0.35">
      <c r="A6">
        <v>25597</v>
      </c>
      <c r="B6" t="s">
        <v>37</v>
      </c>
      <c r="C6" t="s">
        <v>39</v>
      </c>
      <c r="D6" s="3">
        <v>30000</v>
      </c>
      <c r="E6">
        <v>0</v>
      </c>
      <c r="F6" t="s">
        <v>13</v>
      </c>
      <c r="G6" t="s">
        <v>20</v>
      </c>
      <c r="H6" t="s">
        <v>18</v>
      </c>
      <c r="I6">
        <v>0</v>
      </c>
      <c r="J6" t="s">
        <v>16</v>
      </c>
      <c r="K6" t="s">
        <v>17</v>
      </c>
      <c r="L6">
        <v>36</v>
      </c>
      <c r="M6" t="str">
        <f>IF(L6&gt;54,"Old", IF(L6&gt;=31,"Middle Age", IF(L6&lt;31,"Adolescent","Invalid")))</f>
        <v>Middle Age</v>
      </c>
      <c r="N6" t="s">
        <v>15</v>
      </c>
    </row>
    <row r="7" spans="1:14" x14ac:dyDescent="0.35">
      <c r="A7">
        <v>13507</v>
      </c>
      <c r="B7" t="s">
        <v>36</v>
      </c>
      <c r="C7" t="s">
        <v>38</v>
      </c>
      <c r="D7" s="3">
        <v>10000</v>
      </c>
      <c r="E7">
        <v>2</v>
      </c>
      <c r="F7" t="s">
        <v>19</v>
      </c>
      <c r="G7" t="s">
        <v>25</v>
      </c>
      <c r="H7" t="s">
        <v>15</v>
      </c>
      <c r="I7">
        <v>0</v>
      </c>
      <c r="J7" t="s">
        <v>26</v>
      </c>
      <c r="K7" t="s">
        <v>17</v>
      </c>
      <c r="L7">
        <v>50</v>
      </c>
      <c r="M7" t="str">
        <f>IF(L7&gt;54,"Old", IF(L7&gt;=31,"Middle Age", IF(L7&lt;31,"Adolescent","Invalid")))</f>
        <v>Middle Age</v>
      </c>
      <c r="N7" t="s">
        <v>18</v>
      </c>
    </row>
    <row r="8" spans="1:14" x14ac:dyDescent="0.35">
      <c r="A8">
        <v>27974</v>
      </c>
      <c r="B8" t="s">
        <v>37</v>
      </c>
      <c r="C8" t="s">
        <v>39</v>
      </c>
      <c r="D8" s="3">
        <v>160000</v>
      </c>
      <c r="E8">
        <v>2</v>
      </c>
      <c r="F8" t="s">
        <v>27</v>
      </c>
      <c r="G8" t="s">
        <v>28</v>
      </c>
      <c r="H8" t="s">
        <v>15</v>
      </c>
      <c r="I8">
        <v>4</v>
      </c>
      <c r="J8" t="s">
        <v>16</v>
      </c>
      <c r="K8" t="s">
        <v>24</v>
      </c>
      <c r="L8">
        <v>33</v>
      </c>
      <c r="M8" t="str">
        <f>IF(L8&gt;54,"Old", IF(L8&gt;=31,"Middle Age", IF(L8&lt;31,"Adolescent","Invalid")))</f>
        <v>Middle Age</v>
      </c>
      <c r="N8" t="s">
        <v>15</v>
      </c>
    </row>
    <row r="9" spans="1:14" x14ac:dyDescent="0.35">
      <c r="A9">
        <v>19364</v>
      </c>
      <c r="B9" t="s">
        <v>36</v>
      </c>
      <c r="C9" t="s">
        <v>39</v>
      </c>
      <c r="D9" s="3">
        <v>40000</v>
      </c>
      <c r="E9">
        <v>1</v>
      </c>
      <c r="F9" t="s">
        <v>13</v>
      </c>
      <c r="G9" t="s">
        <v>14</v>
      </c>
      <c r="H9" t="s">
        <v>15</v>
      </c>
      <c r="I9">
        <v>0</v>
      </c>
      <c r="J9" t="s">
        <v>16</v>
      </c>
      <c r="K9" t="s">
        <v>17</v>
      </c>
      <c r="L9">
        <v>43</v>
      </c>
      <c r="M9" t="str">
        <f>IF(L9&gt;54,"Old", IF(L9&gt;=31,"Middle Age", IF(L9&lt;31,"Adolescent","Invalid")))</f>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IF(L10&gt;54,"Old", IF(L10&gt;=31,"Middle Age", IF(L10&lt;31,"Adolescent","Invalid")))</f>
        <v>Old</v>
      </c>
      <c r="N10" t="s">
        <v>18</v>
      </c>
    </row>
    <row r="11" spans="1:14" x14ac:dyDescent="0.35">
      <c r="A11">
        <v>19280</v>
      </c>
      <c r="B11" t="s">
        <v>36</v>
      </c>
      <c r="C11" t="s">
        <v>39</v>
      </c>
      <c r="D11" s="3">
        <v>120000</v>
      </c>
      <c r="E11">
        <v>2</v>
      </c>
      <c r="F11" t="s">
        <v>19</v>
      </c>
      <c r="G11" t="s">
        <v>25</v>
      </c>
      <c r="H11" t="s">
        <v>15</v>
      </c>
      <c r="I11">
        <v>1</v>
      </c>
      <c r="J11" t="s">
        <v>16</v>
      </c>
      <c r="K11" t="s">
        <v>17</v>
      </c>
      <c r="L11">
        <v>40</v>
      </c>
      <c r="M11" t="str">
        <f>IF(L11&gt;54,"Old", IF(L11&gt;=31,"Middle Age", IF(L11&lt;31,"Adolescent","Invalid")))</f>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IF(L12&gt;54,"Old", IF(L12&gt;=31,"Middle Age", IF(L12&lt;31,"Adolescent","Invalid")))</f>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IF(L13&gt;54,"Old", IF(L13&gt;=31,"Middle Age", IF(L13&lt;31,"Adolescent","Invalid")))</f>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IF(L14&gt;54,"Old", IF(L14&gt;=31,"Middle Age", IF(L14&lt;31,"Adolescent","Invalid")))</f>
        <v>Old</v>
      </c>
      <c r="N14" t="s">
        <v>18</v>
      </c>
    </row>
    <row r="15" spans="1:14" x14ac:dyDescent="0.35">
      <c r="A15">
        <v>25323</v>
      </c>
      <c r="B15" t="s">
        <v>36</v>
      </c>
      <c r="C15" t="s">
        <v>39</v>
      </c>
      <c r="D15" s="3">
        <v>40000</v>
      </c>
      <c r="E15">
        <v>2</v>
      </c>
      <c r="F15" t="s">
        <v>19</v>
      </c>
      <c r="G15" t="s">
        <v>20</v>
      </c>
      <c r="H15" t="s">
        <v>15</v>
      </c>
      <c r="I15">
        <v>1</v>
      </c>
      <c r="J15" t="s">
        <v>26</v>
      </c>
      <c r="K15" t="s">
        <v>17</v>
      </c>
      <c r="L15">
        <v>35</v>
      </c>
      <c r="M15" t="str">
        <f>IF(L15&gt;54,"Old", IF(L15&gt;=31,"Middle Age", IF(L15&lt;31,"Adolescent","Invalid")))</f>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IF(L16&gt;54,"Old", IF(L16&gt;=31,"Middle Age", IF(L16&lt;31,"Adolescent","Invalid")))</f>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IF(L17&gt;54,"Old", IF(L17&gt;=31,"Middle Age", IF(L17&lt;31,"Adolescent","Invalid")))</f>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IF(L18&gt;54,"Old", IF(L18&gt;=31,"Middle Age", IF(L18&lt;31,"Adolescent","Invalid")))</f>
        <v>Old</v>
      </c>
      <c r="N18" t="s">
        <v>15</v>
      </c>
    </row>
    <row r="19" spans="1:14" x14ac:dyDescent="0.35">
      <c r="A19">
        <v>12610</v>
      </c>
      <c r="B19" t="s">
        <v>36</v>
      </c>
      <c r="C19" t="s">
        <v>38</v>
      </c>
      <c r="D19" s="3">
        <v>30000</v>
      </c>
      <c r="E19">
        <v>1</v>
      </c>
      <c r="F19" t="s">
        <v>13</v>
      </c>
      <c r="G19" t="s">
        <v>20</v>
      </c>
      <c r="H19" t="s">
        <v>15</v>
      </c>
      <c r="I19">
        <v>0</v>
      </c>
      <c r="J19" t="s">
        <v>16</v>
      </c>
      <c r="K19" t="s">
        <v>17</v>
      </c>
      <c r="L19">
        <v>47</v>
      </c>
      <c r="M19" t="str">
        <f>IF(L19&gt;54,"Old", IF(L19&gt;=31,"Middle Age", IF(L19&lt;31,"Adolescent","Invalid")))</f>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IF(L20&gt;54,"Old", IF(L20&gt;=31,"Middle Age", IF(L20&lt;31,"Adolescent","Invalid")))</f>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IF(L21&gt;54,"Old", IF(L21&gt;=31,"Middle Age", IF(L21&lt;31,"Adolescent","Invalid")))</f>
        <v>Old</v>
      </c>
      <c r="N21" t="s">
        <v>15</v>
      </c>
    </row>
    <row r="22" spans="1:14" x14ac:dyDescent="0.35">
      <c r="A22">
        <v>25598</v>
      </c>
      <c r="B22" t="s">
        <v>36</v>
      </c>
      <c r="C22" t="s">
        <v>38</v>
      </c>
      <c r="D22" s="3">
        <v>40000</v>
      </c>
      <c r="E22">
        <v>0</v>
      </c>
      <c r="F22" t="s">
        <v>31</v>
      </c>
      <c r="G22" t="s">
        <v>20</v>
      </c>
      <c r="H22" t="s">
        <v>15</v>
      </c>
      <c r="I22">
        <v>0</v>
      </c>
      <c r="J22" t="s">
        <v>16</v>
      </c>
      <c r="K22" t="s">
        <v>17</v>
      </c>
      <c r="L22">
        <v>36</v>
      </c>
      <c r="M22" t="str">
        <f>IF(L22&gt;54,"Old", IF(L22&gt;=31,"Middle Age", IF(L22&lt;31,"Adolescent","Invalid")))</f>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IF(L23&gt;54,"Old", IF(L23&gt;=31,"Middle Age", IF(L23&lt;31,"Adolescent","Invalid")))</f>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IF(L24&gt;54,"Old", IF(L24&gt;=31,"Middle Age", IF(L24&lt;31,"Adolescent","Invalid")))</f>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IF(L25&gt;54,"Old", IF(L25&gt;=31,"Middle Age", IF(L25&lt;31,"Adolescent","Invalid")))</f>
        <v>Old</v>
      </c>
      <c r="N25" t="s">
        <v>18</v>
      </c>
    </row>
    <row r="26" spans="1:14" x14ac:dyDescent="0.35">
      <c r="A26">
        <v>27184</v>
      </c>
      <c r="B26" t="s">
        <v>37</v>
      </c>
      <c r="C26" t="s">
        <v>39</v>
      </c>
      <c r="D26" s="3">
        <v>40000</v>
      </c>
      <c r="E26">
        <v>2</v>
      </c>
      <c r="F26" t="s">
        <v>19</v>
      </c>
      <c r="G26" t="s">
        <v>20</v>
      </c>
      <c r="H26" t="s">
        <v>18</v>
      </c>
      <c r="I26">
        <v>1</v>
      </c>
      <c r="J26" t="s">
        <v>16</v>
      </c>
      <c r="K26" t="s">
        <v>17</v>
      </c>
      <c r="L26">
        <v>34</v>
      </c>
      <c r="M26" t="str">
        <f>IF(L26&gt;54,"Old", IF(L26&gt;=31,"Middle Age", IF(L26&lt;31,"Adolescent","Invalid")))</f>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IF(L27&gt;54,"Old", IF(L27&gt;=31,"Middle Age", IF(L27&lt;31,"Adolescent","Invalid")))</f>
        <v>Old</v>
      </c>
      <c r="N27" t="s">
        <v>18</v>
      </c>
    </row>
    <row r="28" spans="1:14" x14ac:dyDescent="0.35">
      <c r="A28">
        <v>17841</v>
      </c>
      <c r="B28" t="s">
        <v>37</v>
      </c>
      <c r="C28" t="s">
        <v>39</v>
      </c>
      <c r="D28" s="3">
        <v>30000</v>
      </c>
      <c r="E28">
        <v>0</v>
      </c>
      <c r="F28" t="s">
        <v>19</v>
      </c>
      <c r="G28" t="s">
        <v>20</v>
      </c>
      <c r="H28" t="s">
        <v>18</v>
      </c>
      <c r="I28">
        <v>1</v>
      </c>
      <c r="J28" t="s">
        <v>16</v>
      </c>
      <c r="K28" t="s">
        <v>17</v>
      </c>
      <c r="L28">
        <v>29</v>
      </c>
      <c r="M28" t="str">
        <f>IF(L28&gt;54,"Old", IF(L28&gt;=31,"Middle Age", IF(L28&lt;31,"Adolescent","Invalid")))</f>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IF(L29&gt;54,"Old", IF(L29&gt;=31,"Middle Age", IF(L29&lt;31,"Adolescent","Invalid")))</f>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IF(L30&gt;54,"Old", IF(L30&gt;=31,"Middle Age", IF(L30&lt;31,"Adolescent","Invalid")))</f>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IF(L31&gt;54,"Old", IF(L31&gt;=31,"Middle Age", IF(L31&lt;31,"Adolescent","Invalid")))</f>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IF(L32&gt;54,"Old", IF(L32&gt;=31,"Middle Age", IF(L32&lt;31,"Adolescent","Invalid")))</f>
        <v>Old</v>
      </c>
      <c r="N32" t="s">
        <v>18</v>
      </c>
    </row>
    <row r="33" spans="1:14" x14ac:dyDescent="0.35">
      <c r="A33">
        <v>22400</v>
      </c>
      <c r="B33" t="s">
        <v>36</v>
      </c>
      <c r="C33" t="s">
        <v>39</v>
      </c>
      <c r="D33" s="3">
        <v>10000</v>
      </c>
      <c r="E33">
        <v>0</v>
      </c>
      <c r="F33" t="s">
        <v>19</v>
      </c>
      <c r="G33" t="s">
        <v>25</v>
      </c>
      <c r="H33" t="s">
        <v>18</v>
      </c>
      <c r="I33">
        <v>1</v>
      </c>
      <c r="J33" t="s">
        <v>16</v>
      </c>
      <c r="K33" t="s">
        <v>24</v>
      </c>
      <c r="L33">
        <v>26</v>
      </c>
      <c r="M33" t="str">
        <f>IF(L33&gt;54,"Old", IF(L33&gt;=31,"Middle Age", IF(L33&lt;31,"Adolescent","Invalid")))</f>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IF(L34&gt;54,"Old", IF(L34&gt;=31,"Middle Age", IF(L34&lt;31,"Adolescent","Invalid")))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IF(L35&gt;54,"Old", IF(L35&gt;=31,"Middle Age", IF(L35&lt;31,"Adolescent","Invalid")))</f>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IF(L36&gt;54,"Old", IF(L36&gt;=31,"Middle Age", IF(L36&lt;31,"Adolescent","Invalid")))</f>
        <v>Old</v>
      </c>
      <c r="N36" t="s">
        <v>15</v>
      </c>
    </row>
    <row r="37" spans="1:14" x14ac:dyDescent="0.35">
      <c r="A37">
        <v>28380</v>
      </c>
      <c r="B37" t="s">
        <v>37</v>
      </c>
      <c r="C37" t="s">
        <v>38</v>
      </c>
      <c r="D37" s="3">
        <v>10000</v>
      </c>
      <c r="E37">
        <v>5</v>
      </c>
      <c r="F37" t="s">
        <v>29</v>
      </c>
      <c r="G37" t="s">
        <v>25</v>
      </c>
      <c r="H37" t="s">
        <v>18</v>
      </c>
      <c r="I37">
        <v>2</v>
      </c>
      <c r="J37" t="s">
        <v>16</v>
      </c>
      <c r="K37" t="s">
        <v>17</v>
      </c>
      <c r="L37">
        <v>41</v>
      </c>
      <c r="M37" t="str">
        <f>IF(L37&gt;54,"Old", IF(L37&gt;=31,"Middle Age", IF(L37&lt;31,"Adolescent","Invalid")))</f>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IF(L38&gt;54,"Old", IF(L38&gt;=31,"Middle Age", IF(L38&lt;31,"Adolescent","Invalid")))</f>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IF(L39&gt;54,"Old", IF(L39&gt;=31,"Middle Age", IF(L39&lt;31,"Adolescent","Invalid")))</f>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IF(L40&gt;54,"Old", IF(L40&gt;=31,"Middle Age", IF(L40&lt;31,"Adolescent","Invalid")))</f>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IF(L41&gt;54,"Old", IF(L41&gt;=31,"Middle Age", IF(L41&lt;31,"Adolescent","Invalid")))</f>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IF(L42&gt;54,"Old", IF(L42&gt;=31,"Middle Age", IF(L42&lt;31,"Adolescent","Invalid")))</f>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IF(L43&gt;54,"Old", IF(L43&gt;=31,"Middle Age", IF(L43&lt;31,"Adolescent","Invalid")))</f>
        <v>Old</v>
      </c>
      <c r="N43" t="s">
        <v>15</v>
      </c>
    </row>
    <row r="44" spans="1:14" x14ac:dyDescent="0.35">
      <c r="A44">
        <v>17703</v>
      </c>
      <c r="B44" t="s">
        <v>36</v>
      </c>
      <c r="C44" t="s">
        <v>38</v>
      </c>
      <c r="D44" s="3">
        <v>10000</v>
      </c>
      <c r="E44">
        <v>1</v>
      </c>
      <c r="F44" t="s">
        <v>31</v>
      </c>
      <c r="G44" t="s">
        <v>25</v>
      </c>
      <c r="H44" t="s">
        <v>15</v>
      </c>
      <c r="I44">
        <v>0</v>
      </c>
      <c r="J44" t="s">
        <v>16</v>
      </c>
      <c r="K44" t="s">
        <v>17</v>
      </c>
      <c r="L44">
        <v>40</v>
      </c>
      <c r="M44" t="str">
        <f>IF(L44&gt;54,"Old", IF(L44&gt;=31,"Middle Age", IF(L44&lt;31,"Adolescent","Invalid")))</f>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IF(L45&gt;54,"Old", IF(L45&gt;=31,"Middle Age", IF(L45&lt;31,"Adolescent","Invalid")))</f>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IF(L46&gt;54,"Old", IF(L46&gt;=31,"Middle Age", IF(L46&lt;31,"Adolescent","Invalid")))</f>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IF(L47&gt;54,"Old", IF(L47&gt;=31,"Middle Age", IF(L47&lt;31,"Adolescent","Invalid")))</f>
        <v>Old</v>
      </c>
      <c r="N47" t="s">
        <v>15</v>
      </c>
    </row>
    <row r="48" spans="1:14" x14ac:dyDescent="0.35">
      <c r="A48">
        <v>24466</v>
      </c>
      <c r="B48" t="s">
        <v>36</v>
      </c>
      <c r="C48" t="s">
        <v>38</v>
      </c>
      <c r="D48" s="3">
        <v>60000</v>
      </c>
      <c r="E48">
        <v>1</v>
      </c>
      <c r="F48" t="s">
        <v>19</v>
      </c>
      <c r="G48" t="s">
        <v>14</v>
      </c>
      <c r="H48" t="s">
        <v>15</v>
      </c>
      <c r="I48">
        <v>1</v>
      </c>
      <c r="J48" t="s">
        <v>23</v>
      </c>
      <c r="K48" t="s">
        <v>24</v>
      </c>
      <c r="L48">
        <v>46</v>
      </c>
      <c r="M48" t="str">
        <f>IF(L48&gt;54,"Old", IF(L48&gt;=31,"Middle Age", IF(L48&lt;31,"Adolescent","Invalid")))</f>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IF(L49&gt;54,"Old", IF(L49&gt;=31,"Middle Age", IF(L49&lt;31,"Adolescent","Invalid")))</f>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IF(L50&gt;54,"Old", IF(L50&gt;=31,"Middle Age", IF(L50&lt;31,"Adolescent","Invalid")))</f>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IF(L51&gt;54,"Old", IF(L51&gt;=31,"Middle Age", IF(L51&lt;31,"Adolescent","Invalid")))</f>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IF(L52&gt;54,"Old", IF(L52&gt;=31,"Middle Age", IF(L52&lt;31,"Adolescent","Invalid")))</f>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IF(L53&gt;54,"Old", IF(L53&gt;=31,"Middle Age", IF(L53&lt;31,"Adolescent","Invalid")))</f>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IF(L54&gt;54,"Old", IF(L54&gt;=31,"Middle Age", IF(L54&lt;31,"Adolescent","Invalid")))</f>
        <v>Old</v>
      </c>
      <c r="N54" t="s">
        <v>18</v>
      </c>
    </row>
    <row r="55" spans="1:14" x14ac:dyDescent="0.35">
      <c r="A55">
        <v>24871</v>
      </c>
      <c r="B55" t="s">
        <v>37</v>
      </c>
      <c r="C55" t="s">
        <v>38</v>
      </c>
      <c r="D55" s="3">
        <v>90000</v>
      </c>
      <c r="E55">
        <v>4</v>
      </c>
      <c r="F55" t="s">
        <v>27</v>
      </c>
      <c r="G55" t="s">
        <v>28</v>
      </c>
      <c r="H55" t="s">
        <v>18</v>
      </c>
      <c r="I55">
        <v>3</v>
      </c>
      <c r="J55" t="s">
        <v>23</v>
      </c>
      <c r="K55" t="s">
        <v>17</v>
      </c>
      <c r="L55">
        <v>56</v>
      </c>
      <c r="M55" t="str">
        <f>IF(L55&gt;54,"Old", IF(L55&gt;=31,"Middle Age", IF(L55&lt;31,"Adolescent","Invalid")))</f>
        <v>Old</v>
      </c>
      <c r="N55" t="s">
        <v>18</v>
      </c>
    </row>
    <row r="56" spans="1:14" x14ac:dyDescent="0.35">
      <c r="A56">
        <v>17319</v>
      </c>
      <c r="B56" t="s">
        <v>37</v>
      </c>
      <c r="C56" t="s">
        <v>38</v>
      </c>
      <c r="D56" s="3">
        <v>70000</v>
      </c>
      <c r="E56">
        <v>0</v>
      </c>
      <c r="F56" t="s">
        <v>13</v>
      </c>
      <c r="G56" t="s">
        <v>21</v>
      </c>
      <c r="H56" t="s">
        <v>18</v>
      </c>
      <c r="I56">
        <v>1</v>
      </c>
      <c r="J56" t="s">
        <v>23</v>
      </c>
      <c r="K56" t="s">
        <v>24</v>
      </c>
      <c r="L56">
        <v>42</v>
      </c>
      <c r="M56" t="str">
        <f>IF(L56&gt;54,"Old", IF(L56&gt;=31,"Middle Age", IF(L56&lt;31,"Adolescent","Invalid")))</f>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IF(L57&gt;54,"Old", IF(L57&gt;=31,"Middle Age", IF(L57&lt;31,"Adolescent","Invalid")))</f>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IF(L58&gt;54,"Old", IF(L58&gt;=31,"Middle Age", IF(L58&lt;31,"Adolescent","Invalid")))</f>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IF(L59&gt;54,"Old", IF(L59&gt;=31,"Middle Age", IF(L59&lt;31,"Adolescent","Invalid")))</f>
        <v>Old</v>
      </c>
      <c r="N59" t="s">
        <v>15</v>
      </c>
    </row>
    <row r="60" spans="1:14" x14ac:dyDescent="0.35">
      <c r="A60">
        <v>25502</v>
      </c>
      <c r="B60" t="s">
        <v>36</v>
      </c>
      <c r="C60" t="s">
        <v>38</v>
      </c>
      <c r="D60" s="3">
        <v>40000</v>
      </c>
      <c r="E60">
        <v>1</v>
      </c>
      <c r="F60" t="s">
        <v>13</v>
      </c>
      <c r="G60" t="s">
        <v>14</v>
      </c>
      <c r="H60" t="s">
        <v>15</v>
      </c>
      <c r="I60">
        <v>0</v>
      </c>
      <c r="J60" t="s">
        <v>16</v>
      </c>
      <c r="K60" t="s">
        <v>17</v>
      </c>
      <c r="L60">
        <v>43</v>
      </c>
      <c r="M60" t="str">
        <f>IF(L60&gt;54,"Old", IF(L60&gt;=31,"Middle Age", IF(L60&lt;31,"Adolescent","Invalid")))</f>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IF(L61&gt;54,"Old", IF(L61&gt;=31,"Middle Age", IF(L61&lt;31,"Adolescent","Invalid")))</f>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IF(L62&gt;54,"Old", IF(L62&gt;=31,"Middle Age", IF(L62&lt;31,"Adolescent","Invalid")))</f>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IF(L63&gt;54,"Old", IF(L63&gt;=31,"Middle Age", IF(L63&lt;31,"Adolescent","Invalid")))</f>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IF(L64&gt;54,"Old", IF(L64&gt;=31,"Middle Age", IF(L64&lt;31,"Adolescent","Invalid")))</f>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IF(L65&gt;54,"Old", IF(L65&gt;=31,"Middle Age", IF(L65&lt;31,"Adolescent","Invalid")))</f>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IF(L66&gt;54,"Old", IF(L66&gt;=31,"Middle Age", IF(L66&lt;31,"Adolescent","Invalid")))</f>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IF(L67&gt;54,"Old", IF(L67&gt;=31,"Middle Age", 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IF(L68&gt;54,"Old", IF(L68&gt;=31,"Middle Age", IF(L68&lt;31,"Adolescent","Invalid")))</f>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IF(L69&gt;54,"Old", IF(L69&gt;=31,"Middle Age", IF(L69&lt;31,"Adolescent","Invalid")))</f>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IF(L70&gt;54,"Old", IF(L70&gt;=31,"Middle Age", IF(L70&lt;31,"Adolescent","Invalid")))</f>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IF(L71&gt;54,"Old", IF(L71&gt;=31,"Middle Age", IF(L71&lt;31,"Adolescent","Invalid")))</f>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IF(L72&gt;54,"Old", IF(L72&gt;=31,"Middle Age", IF(L72&lt;31,"Adolescent","Invalid")))</f>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IF(L73&gt;54,"Old", IF(L73&gt;=31,"Middle Age", IF(L73&lt;31,"Adolescent","Invalid")))</f>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IF(L74&gt;54,"Old", IF(L74&gt;=31,"Middle Age", IF(L74&lt;31,"Adolescent","Invalid")))</f>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IF(L75&gt;54,"Old", IF(L75&gt;=31,"Middle Age", IF(L75&lt;31,"Adolescent","Invalid")))</f>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IF(L76&gt;54,"Old", IF(L76&gt;=31,"Middle Age", IF(L76&lt;31,"Adolescent","Invalid")))</f>
        <v>Old</v>
      </c>
      <c r="N76" t="s">
        <v>18</v>
      </c>
    </row>
    <row r="77" spans="1:14" x14ac:dyDescent="0.35">
      <c r="A77">
        <v>12678</v>
      </c>
      <c r="B77" t="s">
        <v>37</v>
      </c>
      <c r="C77" t="s">
        <v>38</v>
      </c>
      <c r="D77" s="3">
        <v>130000</v>
      </c>
      <c r="E77">
        <v>4</v>
      </c>
      <c r="F77" t="s">
        <v>27</v>
      </c>
      <c r="G77" t="s">
        <v>28</v>
      </c>
      <c r="H77" t="s">
        <v>15</v>
      </c>
      <c r="I77">
        <v>4</v>
      </c>
      <c r="J77" t="s">
        <v>16</v>
      </c>
      <c r="K77" t="s">
        <v>24</v>
      </c>
      <c r="L77">
        <v>31</v>
      </c>
      <c r="M77" t="str">
        <f>IF(L77&gt;54,"Old", IF(L77&gt;=31,"Middle Age", IF(L77&lt;31,"Adolescent","Invalid")))</f>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IF(L78&gt;54,"Old", IF(L78&gt;=31,"Middle Age", IF(L78&lt;31,"Adolescent","Invalid")))</f>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IF(L79&gt;54,"Old", IF(L79&gt;=31,"Middle Age", IF(L79&lt;31,"Adolescent","Invalid")))</f>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IF(L80&gt;54,"Old", IF(L80&gt;=31,"Middle Age", IF(L80&lt;31,"Adolescent","Invalid")))</f>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IF(L81&gt;54,"Old", IF(L81&gt;=31,"Middle Age", IF(L81&lt;31,"Adolescent","Invalid")))</f>
        <v>Old</v>
      </c>
      <c r="N81" t="s">
        <v>15</v>
      </c>
    </row>
    <row r="82" spans="1:14" x14ac:dyDescent="0.35">
      <c r="A82">
        <v>20828</v>
      </c>
      <c r="B82" t="s">
        <v>36</v>
      </c>
      <c r="C82" t="s">
        <v>38</v>
      </c>
      <c r="D82" s="3">
        <v>30000</v>
      </c>
      <c r="E82">
        <v>4</v>
      </c>
      <c r="F82" t="s">
        <v>31</v>
      </c>
      <c r="G82" t="s">
        <v>20</v>
      </c>
      <c r="H82" t="s">
        <v>15</v>
      </c>
      <c r="I82">
        <v>0</v>
      </c>
      <c r="J82" t="s">
        <v>16</v>
      </c>
      <c r="K82" t="s">
        <v>17</v>
      </c>
      <c r="L82">
        <v>45</v>
      </c>
      <c r="M82" t="str">
        <f>IF(L82&gt;54,"Old", IF(L82&gt;=31,"Middle Age", IF(L82&lt;31,"Adolescent","Invalid")))</f>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IF(L83&gt;54,"Old", IF(L83&gt;=31,"Middle Age", IF(L83&lt;31,"Adolescent","Invalid")))</f>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IF(L84&gt;54,"Old", IF(L84&gt;=31,"Middle Age", IF(L84&lt;31,"Adolescent","Invalid")))</f>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IF(L85&gt;54,"Old", IF(L85&gt;=31,"Middle Age", IF(L85&lt;31,"Adolescent","Invalid")))</f>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IF(L86&gt;54,"Old", IF(L86&gt;=31,"Middle Age", IF(L86&lt;31,"Adolescent","Invalid")))</f>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IF(L87&gt;54,"Old", IF(L87&gt;=31,"Middle Age", IF(L87&lt;31,"Adolescent","Invalid")))</f>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IF(L88&gt;54,"Old", IF(L88&gt;=31,"Middle Age", IF(L88&lt;31,"Adolescent","Invalid")))</f>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IF(L89&gt;54,"Old", IF(L89&gt;=31,"Middle Age", IF(L89&lt;31,"Adolescent","Invalid")))</f>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IF(L90&gt;54,"Old", IF(L90&gt;=31,"Middle Age", IF(L90&lt;31,"Adolescent","Invalid")))</f>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IF(L91&gt;54,"Old", IF(L91&gt;=31,"Middle Age", IF(L91&lt;31,"Adolescent","Invalid")))</f>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IF(L92&gt;54,"Old", IF(L92&gt;=31,"Middle Age", IF(L92&lt;31,"Adolescent","Invalid")))</f>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IF(L93&gt;54,"Old", IF(L93&gt;=31,"Middle Age", IF(L93&lt;31,"Adolescent","Invalid")))</f>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IF(L94&gt;54,"Old", IF(L94&gt;=31,"Middle Age", IF(L94&lt;31,"Adolescent","Invalid")))</f>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IF(L95&gt;54,"Old", IF(L95&gt;=31,"Middle Age", IF(L95&lt;31,"Adolescent","Invalid")))</f>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IF(L96&gt;54,"Old", IF(L96&gt;=31,"Middle Age", IF(L96&lt;31,"Adolescent","Invalid")))</f>
        <v>Old</v>
      </c>
      <c r="N96" t="s">
        <v>18</v>
      </c>
    </row>
    <row r="97" spans="1:14" x14ac:dyDescent="0.35">
      <c r="A97">
        <v>17197</v>
      </c>
      <c r="B97" t="s">
        <v>37</v>
      </c>
      <c r="C97" t="s">
        <v>38</v>
      </c>
      <c r="D97" s="3">
        <v>90000</v>
      </c>
      <c r="E97">
        <v>5</v>
      </c>
      <c r="F97" t="s">
        <v>19</v>
      </c>
      <c r="G97" t="s">
        <v>21</v>
      </c>
      <c r="H97" t="s">
        <v>15</v>
      </c>
      <c r="I97">
        <v>2</v>
      </c>
      <c r="J97" t="s">
        <v>46</v>
      </c>
      <c r="K97" t="s">
        <v>17</v>
      </c>
      <c r="L97">
        <v>62</v>
      </c>
      <c r="M97" t="str">
        <f>IF(L97&gt;54,"Old", IF(L97&gt;=31,"Middle Age", IF(L97&lt;31,"Adolescent","Invalid")))</f>
        <v>Old</v>
      </c>
      <c r="N97" t="s">
        <v>18</v>
      </c>
    </row>
    <row r="98" spans="1:14" x14ac:dyDescent="0.35">
      <c r="A98">
        <v>12507</v>
      </c>
      <c r="B98" t="s">
        <v>36</v>
      </c>
      <c r="C98" t="s">
        <v>39</v>
      </c>
      <c r="D98" s="3">
        <v>30000</v>
      </c>
      <c r="E98">
        <v>1</v>
      </c>
      <c r="F98" t="s">
        <v>19</v>
      </c>
      <c r="G98" t="s">
        <v>20</v>
      </c>
      <c r="H98" t="s">
        <v>15</v>
      </c>
      <c r="I98">
        <v>1</v>
      </c>
      <c r="J98" t="s">
        <v>16</v>
      </c>
      <c r="K98" t="s">
        <v>17</v>
      </c>
      <c r="L98">
        <v>43</v>
      </c>
      <c r="M98" t="str">
        <f>IF(L98&gt;54,"Old", IF(L98&gt;=31,"Middle Age", IF(L98&lt;31,"Adolescent","Invalid")))</f>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IF(L99&gt;54,"Old", IF(L99&gt;=31,"Middle Age", IF(L99&lt;31,"Adolescent","Invalid")))</f>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IF(L100&gt;54,"Old", IF(L100&gt;=31,"Middle Age", IF(L100&lt;31,"Adolescent","Invalid")))</f>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IF(L101&gt;54,"Old", IF(L101&gt;=31,"Middle Age", IF(L101&lt;31,"Adolescent","Invalid")))</f>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IF(L102&gt;54,"Old", IF(L102&gt;=31,"Middle Age", IF(L102&lt;31,"Adolescent","Invalid")))</f>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IF(L103&gt;54,"Old", IF(L103&gt;=31,"Middle Age", IF(L103&lt;31,"Adolescent","Invalid")))</f>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IF(L104&gt;54,"Old", IF(L104&gt;=31,"Middle Age", IF(L104&lt;31,"Adolescent","Invalid")))</f>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IF(L105&gt;54,"Old", IF(L105&gt;=31,"Middle Age", IF(L105&lt;31,"Adolescent","Invalid")))</f>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IF(L106&gt;54,"Old", IF(L106&gt;=31,"Middle Age", IF(L106&lt;31,"Adolescent","Invalid")))</f>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IF(L107&gt;54,"Old", IF(L107&gt;=31,"Middle Age", IF(L107&lt;31,"Adolescent","Invalid")))</f>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IF(L108&gt;54,"Old", IF(L108&gt;=31,"Middle Age", IF(L108&lt;31,"Adolescent","Invalid")))</f>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IF(L109&gt;54,"Old", IF(L109&gt;=31,"Middle Age", IF(L109&lt;31,"Adolescent","Invalid")))</f>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IF(L110&gt;54,"Old", IF(L110&gt;=31,"Middle Age", IF(L110&lt;31,"Adolescent","Invalid")))</f>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IF(L111&gt;54,"Old", IF(L111&gt;=31,"Middle Age", IF(L111&lt;31,"Adolescent","Invalid")))</f>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IF(L112&gt;54,"Old", IF(L112&gt;=31,"Middle Age", IF(L112&lt;31,"Adolescent","Invalid")))</f>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IF(L113&gt;54,"Old", IF(L113&gt;=31,"Middle Age", IF(L113&lt;31,"Adolescent","Invalid")))</f>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IF(L114&gt;54,"Old", IF(L114&gt;=31,"Middle Age", IF(L114&lt;31,"Adolescent","Invalid")))</f>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IF(L115&gt;54,"Old", IF(L115&gt;=31,"Middle Age", IF(L115&lt;31,"Adolescent","Invalid")))</f>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IF(L116&gt;54,"Old", IF(L116&gt;=31,"Middle Age", IF(L116&lt;31,"Adolescent","Invalid")))</f>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IF(L117&gt;54,"Old", IF(L117&gt;=31,"Middle Age", IF(L117&lt;31,"Adolescent","Invalid")))</f>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IF(L118&gt;54,"Old", IF(L118&gt;=31,"Middle Age", IF(L118&lt;31,"Adolescent","Invalid")))</f>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IF(L119&gt;54,"Old", IF(L119&gt;=31,"Middle Age", IF(L119&lt;31,"Adolescent","Invalid")))</f>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IF(L120&gt;54,"Old", IF(L120&gt;=31,"Middle Age", IF(L120&lt;31,"Adolescent","Invalid")))</f>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IF(L121&gt;54,"Old", IF(L121&gt;=31,"Middle Age", IF(L121&lt;31,"Adolescent","Invalid")))</f>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IF(L122&gt;54,"Old", IF(L122&gt;=31,"Middle Age", IF(L122&lt;31,"Adolescent","Invalid")))</f>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IF(L123&gt;54,"Old", IF(L123&gt;=31,"Middle Age", IF(L123&lt;31,"Adolescent","Invalid")))</f>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IF(L124&gt;54,"Old", IF(L124&gt;=31,"Middle Age", IF(L124&lt;31,"Adolescent","Invalid")))</f>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IF(L125&gt;54,"Old", IF(L125&gt;=31,"Middle Age", IF(L125&lt;31,"Adolescent","Invalid")))</f>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IF(L126&gt;54,"Old", IF(L126&gt;=31,"Middle Age", IF(L126&lt;31,"Adolescent","Invalid")))</f>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IF(L127&gt;54,"Old", IF(L127&gt;=31,"Middle Age", IF(L127&lt;31,"Adolescent","Invalid")))</f>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IF(L128&gt;54,"Old", IF(L128&gt;=31,"Middle Age", IF(L128&lt;31,"Adolescent","Invalid")))</f>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IF(L129&gt;54,"Old", IF(L129&gt;=31,"Middle Age", IF(L129&lt;31,"Adolescent","Invalid")))</f>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IF(L130&gt;54,"Old", IF(L130&gt;=31,"Middle Age", IF(L130&lt;31,"Adolescent","Invalid")))</f>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IF(L131&gt;54,"Old", IF(L131&gt;=31,"Middle Age", 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IF(L132&gt;54,"Old", IF(L132&gt;=31,"Middle Age", IF(L132&lt;31,"Adolescent","Invalid")))</f>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IF(L133&gt;54,"Old", IF(L133&gt;=31,"Middle Age", IF(L133&lt;31,"Adolescent","Invalid")))</f>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IF(L134&gt;54,"Old", IF(L134&gt;=31,"Middle Age", IF(L134&lt;31,"Adolescent","Invalid")))</f>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IF(L135&gt;54,"Old", IF(L135&gt;=31,"Middle Age", IF(L135&lt;31,"Adolescent","Invalid")))</f>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IF(L136&gt;54,"Old", IF(L136&gt;=31,"Middle Age", IF(L136&lt;31,"Adolescent","Invalid")))</f>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IF(L137&gt;54,"Old", IF(L137&gt;=31,"Middle Age", IF(L137&lt;31,"Adolescent","Invalid")))</f>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IF(L138&gt;54,"Old", IF(L138&gt;=31,"Middle Age", IF(L138&lt;31,"Adolescent","Invalid")))</f>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IF(L139&gt;54,"Old", IF(L139&gt;=31,"Middle Age", IF(L139&lt;31,"Adolescent","Invalid")))</f>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IF(L140&gt;54,"Old", IF(L140&gt;=31,"Middle Age", IF(L140&lt;31,"Adolescent","Invalid")))</f>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IF(L141&gt;54,"Old", IF(L141&gt;=31,"Middle Age", IF(L141&lt;31,"Adolescent","Invalid")))</f>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IF(L142&gt;54,"Old", IF(L142&gt;=31,"Middle Age", IF(L142&lt;31,"Adolescent","Invalid")))</f>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IF(L143&gt;54,"Old", IF(L143&gt;=31,"Middle Age", IF(L143&lt;31,"Adolescent","Invalid")))</f>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IF(L144&gt;54,"Old", IF(L144&gt;=31,"Middle Age", IF(L144&lt;31,"Adolescent","Invalid")))</f>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IF(L145&gt;54,"Old", IF(L145&gt;=31,"Middle Age", IF(L145&lt;31,"Adolescent","Invalid")))</f>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IF(L146&gt;54,"Old", IF(L146&gt;=31,"Middle Age", IF(L146&lt;31,"Adolescent","Invalid")))</f>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IF(L147&gt;54,"Old", IF(L147&gt;=31,"Middle Age", IF(L147&lt;31,"Adolescent","Invalid")))</f>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IF(L148&gt;54,"Old", IF(L148&gt;=31,"Middle Age", IF(L148&lt;31,"Adolescent","Invalid")))</f>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IF(L149&gt;54,"Old", IF(L149&gt;=31,"Middle Age", IF(L149&lt;31,"Adolescent","Invalid")))</f>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IF(L150&gt;54,"Old", IF(L150&gt;=31,"Middle Age", IF(L150&lt;31,"Adolescent","Invalid")))</f>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IF(L151&gt;54,"Old", IF(L151&gt;=31,"Middle Age", IF(L151&lt;31,"Adolescent","Invalid")))</f>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IF(L152&gt;54,"Old", IF(L152&gt;=31,"Middle Age", IF(L152&lt;31,"Adolescent","Invalid")))</f>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IF(L153&gt;54,"Old", IF(L153&gt;=31,"Middle Age", IF(L153&lt;31,"Adolescent","Invalid")))</f>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IF(L154&gt;54,"Old", IF(L154&gt;=31,"Middle Age", IF(L154&lt;31,"Adolescent","Invalid")))</f>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IF(L155&gt;54,"Old", IF(L155&gt;=31,"Middle Age", IF(L155&lt;31,"Adolescent","Invalid")))</f>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IF(L156&gt;54,"Old", IF(L156&gt;=31,"Middle Age", IF(L156&lt;31,"Adolescent","Invalid")))</f>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IF(L157&gt;54,"Old", IF(L157&gt;=31,"Middle Age", IF(L157&lt;31,"Adolescent","Invalid")))</f>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IF(L158&gt;54,"Old", IF(L158&gt;=31,"Middle Age", IF(L158&lt;31,"Adolescent","Invalid")))</f>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IF(L159&gt;54,"Old", IF(L159&gt;=31,"Middle Age", IF(L159&lt;31,"Adolescent","Invalid")))</f>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IF(L160&gt;54,"Old", IF(L160&gt;=31,"Middle Age", IF(L160&lt;31,"Adolescent","Invalid")))</f>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IF(L161&gt;54,"Old", IF(L161&gt;=31,"Middle Age", IF(L161&lt;31,"Adolescent","Invalid")))</f>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IF(L162&gt;54,"Old", IF(L162&gt;=31,"Middle Age", IF(L162&lt;31,"Adolescent","Invalid")))</f>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IF(L163&gt;54,"Old", IF(L163&gt;=31,"Middle Age", IF(L163&lt;31,"Adolescent","Invalid")))</f>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IF(L164&gt;54,"Old", IF(L164&gt;=31,"Middle Age", IF(L164&lt;31,"Adolescent","Invalid")))</f>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IF(L165&gt;54,"Old", IF(L165&gt;=31,"Middle Age", IF(L165&lt;31,"Adolescent","Invalid")))</f>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IF(L166&gt;54,"Old", IF(L166&gt;=31,"Middle Age", IF(L166&lt;31,"Adolescent","Invalid")))</f>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IF(L167&gt;54,"Old", IF(L167&gt;=31,"Middle Age", IF(L167&lt;31,"Adolescent","Invalid")))</f>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IF(L168&gt;54,"Old", IF(L168&gt;=31,"Middle Age", IF(L168&lt;31,"Adolescent","Invalid")))</f>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IF(L169&gt;54,"Old", IF(L169&gt;=31,"Middle Age", IF(L169&lt;31,"Adolescent","Invalid")))</f>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IF(L170&gt;54,"Old", IF(L170&gt;=31,"Middle Age", IF(L170&lt;31,"Adolescent","Invalid")))</f>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IF(L171&gt;54,"Old", IF(L171&gt;=31,"Middle Age", IF(L171&lt;31,"Adolescent","Invalid")))</f>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IF(L172&gt;54,"Old", IF(L172&gt;=31,"Middle Age", IF(L172&lt;31,"Adolescent","Invalid")))</f>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IF(L173&gt;54,"Old", IF(L173&gt;=31,"Middle Age", IF(L173&lt;31,"Adolescent","Invalid")))</f>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IF(L174&gt;54,"Old", IF(L174&gt;=31,"Middle Age", IF(L174&lt;31,"Adolescent","Invalid")))</f>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IF(L175&gt;54,"Old", IF(L175&gt;=31,"Middle Age", IF(L175&lt;31,"Adolescent","Invalid")))</f>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IF(L176&gt;54,"Old", IF(L176&gt;=31,"Middle Age", IF(L176&lt;31,"Adolescent","Invalid")))</f>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IF(L177&gt;54,"Old", IF(L177&gt;=31,"Middle Age", IF(L177&lt;31,"Adolescent","Invalid")))</f>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IF(L178&gt;54,"Old", IF(L178&gt;=31,"Middle Age", IF(L178&lt;31,"Adolescent","Invalid")))</f>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IF(L179&gt;54,"Old", IF(L179&gt;=31,"Middle Age", IF(L179&lt;31,"Adolescent","Invalid")))</f>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IF(L180&gt;54,"Old", IF(L180&gt;=31,"Middle Age", IF(L180&lt;31,"Adolescent","Invalid")))</f>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IF(L181&gt;54,"Old", IF(L181&gt;=31,"Middle Age", IF(L181&lt;31,"Adolescent","Invalid")))</f>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IF(L182&gt;54,"Old", IF(L182&gt;=31,"Middle Age", IF(L182&lt;31,"Adolescent","Invalid")))</f>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IF(L183&gt;54,"Old", IF(L183&gt;=31,"Middle Age", IF(L183&lt;31,"Adolescent","Invalid")))</f>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IF(L184&gt;54,"Old", IF(L184&gt;=31,"Middle Age", IF(L184&lt;31,"Adolescent","Invalid")))</f>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IF(L185&gt;54,"Old", IF(L185&gt;=31,"Middle Age", IF(L185&lt;31,"Adolescent","Invalid")))</f>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IF(L186&gt;54,"Old", IF(L186&gt;=31,"Middle Age", IF(L186&lt;31,"Adolescent","Invalid")))</f>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IF(L187&gt;54,"Old", IF(L187&gt;=31,"Middle Age", IF(L187&lt;31,"Adolescent","Invalid")))</f>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IF(L188&gt;54,"Old", IF(L188&gt;=31,"Middle Age", IF(L188&lt;31,"Adolescent","Invalid")))</f>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IF(L189&gt;54,"Old", IF(L189&gt;=31,"Middle Age", IF(L189&lt;31,"Adolescent","Invalid")))</f>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IF(L190&gt;54,"Old", IF(L190&gt;=31,"Middle Age", IF(L190&lt;31,"Adolescent","Invalid")))</f>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IF(L191&gt;54,"Old", IF(L191&gt;=31,"Middle Age", IF(L191&lt;31,"Adolescent","Invalid")))</f>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IF(L192&gt;54,"Old", IF(L192&gt;=31,"Middle Age", IF(L192&lt;31,"Adolescent","Invalid")))</f>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IF(L193&gt;54,"Old", IF(L193&gt;=31,"Middle Age", IF(L193&lt;31,"Adolescent","Invalid")))</f>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IF(L194&gt;54,"Old", IF(L194&gt;=31,"Middle Age", IF(L194&lt;31,"Adolescent","Invalid")))</f>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IF(L195&gt;54,"Old", IF(L195&gt;=31,"Middle Age", 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IF(L196&gt;54,"Old", IF(L196&gt;=31,"Middle Age", IF(L196&lt;31,"Adolescent","Invalid")))</f>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IF(L197&gt;54,"Old", IF(L197&gt;=31,"Middle Age", IF(L197&lt;31,"Adolescent","Invalid")))</f>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IF(L198&gt;54,"Old", IF(L198&gt;=31,"Middle Age", IF(L198&lt;31,"Adolescent","Invalid")))</f>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IF(L199&gt;54,"Old", IF(L199&gt;=31,"Middle Age", IF(L199&lt;31,"Adolescent","Invalid")))</f>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IF(L200&gt;54,"Old", IF(L200&gt;=31,"Middle Age", IF(L200&lt;31,"Adolescent","Invalid")))</f>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IF(L201&gt;54,"Old", IF(L201&gt;=31,"Middle Age", IF(L201&lt;31,"Adolescent","Invalid")))</f>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IF(L202&gt;54,"Old", IF(L202&gt;=31,"Middle Age", IF(L202&lt;31,"Adolescent","Invalid")))</f>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IF(L203&gt;54,"Old", IF(L203&gt;=31,"Middle Age", IF(L203&lt;31,"Adolescent","Invalid")))</f>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IF(L204&gt;54,"Old", IF(L204&gt;=31,"Middle Age", IF(L204&lt;31,"Adolescent","Invalid")))</f>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IF(L205&gt;54,"Old", IF(L205&gt;=31,"Middle Age", IF(L205&lt;31,"Adolescent","Invalid")))</f>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IF(L206&gt;54,"Old", IF(L206&gt;=31,"Middle Age", IF(L206&lt;31,"Adolescent","Invalid")))</f>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IF(L207&gt;54,"Old", IF(L207&gt;=31,"Middle Age", IF(L207&lt;31,"Adolescent","Invalid")))</f>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IF(L208&gt;54,"Old", IF(L208&gt;=31,"Middle Age", IF(L208&lt;31,"Adolescent","Invalid")))</f>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IF(L209&gt;54,"Old", IF(L209&gt;=31,"Middle Age", IF(L209&lt;31,"Adolescent","Invalid")))</f>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IF(L210&gt;54,"Old", IF(L210&gt;=31,"Middle Age", IF(L210&lt;31,"Adolescent","Invalid")))</f>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IF(L211&gt;54,"Old", IF(L211&gt;=31,"Middle Age", IF(L211&lt;31,"Adolescent","Invalid")))</f>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IF(L212&gt;54,"Old", IF(L212&gt;=31,"Middle Age", IF(L212&lt;31,"Adolescent","Invalid")))</f>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IF(L213&gt;54,"Old", IF(L213&gt;=31,"Middle Age", IF(L213&lt;31,"Adolescent","Invalid")))</f>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IF(L214&gt;54,"Old", IF(L214&gt;=31,"Middle Age", IF(L214&lt;31,"Adolescent","Invalid")))</f>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IF(L215&gt;54,"Old", IF(L215&gt;=31,"Middle Age", IF(L215&lt;31,"Adolescent","Invalid")))</f>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IF(L216&gt;54,"Old", IF(L216&gt;=31,"Middle Age", IF(L216&lt;31,"Adolescent","Invalid")))</f>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IF(L217&gt;54,"Old", IF(L217&gt;=31,"Middle Age", IF(L217&lt;31,"Adolescent","Invalid")))</f>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IF(L218&gt;54,"Old", IF(L218&gt;=31,"Middle Age", IF(L218&lt;31,"Adolescent","Invalid")))</f>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IF(L219&gt;54,"Old", IF(L219&gt;=31,"Middle Age", IF(L219&lt;31,"Adolescent","Invalid")))</f>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IF(L220&gt;54,"Old", IF(L220&gt;=31,"Middle Age", IF(L220&lt;31,"Adolescent","Invalid")))</f>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IF(L221&gt;54,"Old", IF(L221&gt;=31,"Middle Age", IF(L221&lt;31,"Adolescent","Invalid")))</f>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IF(L222&gt;54,"Old", IF(L222&gt;=31,"Middle Age", IF(L222&lt;31,"Adolescent","Invalid")))</f>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IF(L223&gt;54,"Old", IF(L223&gt;=31,"Middle Age", IF(L223&lt;31,"Adolescent","Invalid")))</f>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IF(L224&gt;54,"Old", IF(L224&gt;=31,"Middle Age", IF(L224&lt;31,"Adolescent","Invalid")))</f>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IF(L225&gt;54,"Old", IF(L225&gt;=31,"Middle Age", IF(L225&lt;31,"Adolescent","Invalid")))</f>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IF(L226&gt;54,"Old", IF(L226&gt;=31,"Middle Age", IF(L226&lt;31,"Adolescent","Invalid")))</f>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IF(L227&gt;54,"Old", IF(L227&gt;=31,"Middle Age", IF(L227&lt;31,"Adolescent","Invalid")))</f>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IF(L228&gt;54,"Old", IF(L228&gt;=31,"Middle Age", IF(L228&lt;31,"Adolescent","Invalid")))</f>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IF(L229&gt;54,"Old", IF(L229&gt;=31,"Middle Age", IF(L229&lt;31,"Adolescent","Invalid")))</f>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IF(L230&gt;54,"Old", IF(L230&gt;=31,"Middle Age", IF(L230&lt;31,"Adolescent","Invalid")))</f>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IF(L231&gt;54,"Old", IF(L231&gt;=31,"Middle Age", IF(L231&lt;31,"Adolescent","Invalid")))</f>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IF(L232&gt;54,"Old", IF(L232&gt;=31,"Middle Age", IF(L232&lt;31,"Adolescent","Invalid")))</f>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IF(L233&gt;54,"Old", IF(L233&gt;=31,"Middle Age", IF(L233&lt;31,"Adolescent","Invalid")))</f>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IF(L234&gt;54,"Old", IF(L234&gt;=31,"Middle Age", IF(L234&lt;31,"Adolescent","Invalid")))</f>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IF(L235&gt;54,"Old", IF(L235&gt;=31,"Middle Age", IF(L235&lt;31,"Adolescent","Invalid")))</f>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IF(L236&gt;54,"Old", IF(L236&gt;=31,"Middle Age", IF(L236&lt;31,"Adolescent","Invalid")))</f>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IF(L237&gt;54,"Old", IF(L237&gt;=31,"Middle Age", IF(L237&lt;31,"Adolescent","Invalid")))</f>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IF(L238&gt;54,"Old", IF(L238&gt;=31,"Middle Age", IF(L238&lt;31,"Adolescent","Invalid")))</f>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IF(L239&gt;54,"Old", IF(L239&gt;=31,"Middle Age", IF(L239&lt;31,"Adolescent","Invalid")))</f>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IF(L240&gt;54,"Old", IF(L240&gt;=31,"Middle Age", IF(L240&lt;31,"Adolescent","Invalid")))</f>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IF(L241&gt;54,"Old", IF(L241&gt;=31,"Middle Age", IF(L241&lt;31,"Adolescent","Invalid")))</f>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IF(L242&gt;54,"Old", IF(L242&gt;=31,"Middle Age", IF(L242&lt;31,"Adolescent","Invalid")))</f>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IF(L243&gt;54,"Old", IF(L243&gt;=31,"Middle Age", IF(L243&lt;31,"Adolescent","Invalid")))</f>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IF(L244&gt;54,"Old", IF(L244&gt;=31,"Middle Age", IF(L244&lt;31,"Adolescent","Invalid")))</f>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IF(L245&gt;54,"Old", IF(L245&gt;=31,"Middle Age", IF(L245&lt;31,"Adolescent","Invalid")))</f>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IF(L246&gt;54,"Old", IF(L246&gt;=31,"Middle Age", IF(L246&lt;31,"Adolescent","Invalid")))</f>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IF(L247&gt;54,"Old", IF(L247&gt;=31,"Middle Age", IF(L247&lt;31,"Adolescent","Invalid")))</f>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IF(L248&gt;54,"Old", IF(L248&gt;=31,"Middle Age", IF(L248&lt;31,"Adolescent","Invalid")))</f>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IF(L249&gt;54,"Old", IF(L249&gt;=31,"Middle Age", IF(L249&lt;31,"Adolescent","Invalid")))</f>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IF(L250&gt;54,"Old", IF(L250&gt;=31,"Middle Age", IF(L250&lt;31,"Adolescent","Invalid")))</f>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IF(L251&gt;54,"Old", IF(L251&gt;=31,"Middle Age", IF(L251&lt;31,"Adolescent","Invalid")))</f>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IF(L252&gt;54,"Old", IF(L252&gt;=31,"Middle Age", IF(L252&lt;31,"Adolescent","Invalid")))</f>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IF(L253&gt;54,"Old", IF(L253&gt;=31,"Middle Age", IF(L253&lt;31,"Adolescent","Invalid")))</f>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IF(L254&gt;54,"Old", IF(L254&gt;=31,"Middle Age", IF(L254&lt;31,"Adolescent","Invalid")))</f>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IF(L255&gt;54,"Old", IF(L255&gt;=31,"Middle Age", IF(L255&lt;31,"Adolescent","Invalid")))</f>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IF(L256&gt;54,"Old", IF(L256&gt;=31,"Middle Age", IF(L256&lt;31,"Adolescent","Invalid")))</f>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IF(L257&gt;54,"Old", IF(L257&gt;=31,"Middle Age", IF(L257&lt;31,"Adolescent","Invalid")))</f>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IF(L258&gt;54,"Old", IF(L258&gt;=31,"Middle Age", IF(L258&lt;31,"Adolescent","Invalid")))</f>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IF(L259&gt;54,"Old", IF(L259&gt;=31,"Middle Age", 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IF(L260&gt;54,"Old", IF(L260&gt;=31,"Middle Age", IF(L260&lt;31,"Adolescent","Invalid")))</f>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IF(L261&gt;54,"Old", IF(L261&gt;=31,"Middle Age", IF(L261&lt;31,"Adolescent","Invalid")))</f>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IF(L262&gt;54,"Old", IF(L262&gt;=31,"Middle Age", IF(L262&lt;31,"Adolescent","Invalid")))</f>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IF(L263&gt;54,"Old", IF(L263&gt;=31,"Middle Age", IF(L263&lt;31,"Adolescent","Invalid")))</f>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IF(L264&gt;54,"Old", IF(L264&gt;=31,"Middle Age", IF(L264&lt;31,"Adolescent","Invalid")))</f>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IF(L265&gt;54,"Old", IF(L265&gt;=31,"Middle Age", IF(L265&lt;31,"Adolescent","Invalid")))</f>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IF(L266&gt;54,"Old", IF(L266&gt;=31,"Middle Age", IF(L266&lt;31,"Adolescent","Invalid")))</f>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IF(L267&gt;54,"Old", IF(L267&gt;=31,"Middle Age", IF(L267&lt;31,"Adolescent","Invalid")))</f>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IF(L268&gt;54,"Old", IF(L268&gt;=31,"Middle Age", IF(L268&lt;31,"Adolescent","Invalid")))</f>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IF(L269&gt;54,"Old", IF(L269&gt;=31,"Middle Age", IF(L269&lt;31,"Adolescent","Invalid")))</f>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IF(L270&gt;54,"Old", IF(L270&gt;=31,"Middle Age", IF(L270&lt;31,"Adolescent","Invalid")))</f>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IF(L271&gt;54,"Old", IF(L271&gt;=31,"Middle Age", IF(L271&lt;31,"Adolescent","Invalid")))</f>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IF(L272&gt;54,"Old", IF(L272&gt;=31,"Middle Age", IF(L272&lt;31,"Adolescent","Invalid")))</f>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IF(L273&gt;54,"Old", IF(L273&gt;=31,"Middle Age", IF(L273&lt;31,"Adolescent","Invalid")))</f>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IF(L274&gt;54,"Old", IF(L274&gt;=31,"Middle Age", IF(L274&lt;31,"Adolescent","Invalid")))</f>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IF(L275&gt;54,"Old", IF(L275&gt;=31,"Middle Age", IF(L275&lt;31,"Adolescent","Invalid")))</f>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IF(L276&gt;54,"Old", IF(L276&gt;=31,"Middle Age", IF(L276&lt;31,"Adolescent","Invalid")))</f>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IF(L277&gt;54,"Old", IF(L277&gt;=31,"Middle Age", IF(L277&lt;31,"Adolescent","Invalid")))</f>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IF(L278&gt;54,"Old", IF(L278&gt;=31,"Middle Age", IF(L278&lt;31,"Adolescent","Invalid")))</f>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IF(L279&gt;54,"Old", IF(L279&gt;=31,"Middle Age", IF(L279&lt;31,"Adolescent","Invalid")))</f>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IF(L280&gt;54,"Old", IF(L280&gt;=31,"Middle Age", IF(L280&lt;31,"Adolescent","Invalid")))</f>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IF(L281&gt;54,"Old", IF(L281&gt;=31,"Middle Age", IF(L281&lt;31,"Adolescent","Invalid")))</f>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IF(L282&gt;54,"Old", IF(L282&gt;=31,"Middle Age", IF(L282&lt;31,"Adolescent","Invalid")))</f>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IF(L283&gt;54,"Old", IF(L283&gt;=31,"Middle Age", IF(L283&lt;31,"Adolescent","Invalid")))</f>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IF(L284&gt;54,"Old", IF(L284&gt;=31,"Middle Age", IF(L284&lt;31,"Adolescent","Invalid")))</f>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IF(L285&gt;54,"Old", IF(L285&gt;=31,"Middle Age", IF(L285&lt;31,"Adolescent","Invalid")))</f>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IF(L286&gt;54,"Old", IF(L286&gt;=31,"Middle Age", IF(L286&lt;31,"Adolescent","Invalid")))</f>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IF(L287&gt;54,"Old", IF(L287&gt;=31,"Middle Age", IF(L287&lt;31,"Adolescent","Invalid")))</f>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IF(L288&gt;54,"Old", IF(L288&gt;=31,"Middle Age", IF(L288&lt;31,"Adolescent","Invalid")))</f>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IF(L289&gt;54,"Old", IF(L289&gt;=31,"Middle Age", IF(L289&lt;31,"Adolescent","Invalid")))</f>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IF(L290&gt;54,"Old", IF(L290&gt;=31,"Middle Age", IF(L290&lt;31,"Adolescent","Invalid")))</f>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IF(L291&gt;54,"Old", IF(L291&gt;=31,"Middle Age", IF(L291&lt;31,"Adolescent","Invalid")))</f>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IF(L292&gt;54,"Old", IF(L292&gt;=31,"Middle Age", IF(L292&lt;31,"Adolescent","Invalid")))</f>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IF(L293&gt;54,"Old", IF(L293&gt;=31,"Middle Age", IF(L293&lt;31,"Adolescent","Invalid")))</f>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IF(L294&gt;54,"Old", IF(L294&gt;=31,"Middle Age", IF(L294&lt;31,"Adolescent","Invalid")))</f>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IF(L295&gt;54,"Old", IF(L295&gt;=31,"Middle Age", IF(L295&lt;31,"Adolescent","Invalid")))</f>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IF(L296&gt;54,"Old", IF(L296&gt;=31,"Middle Age", IF(L296&lt;31,"Adolescent","Invalid")))</f>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IF(L297&gt;54,"Old", IF(L297&gt;=31,"Middle Age", IF(L297&lt;31,"Adolescent","Invalid")))</f>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IF(L298&gt;54,"Old", IF(L298&gt;=31,"Middle Age", IF(L298&lt;31,"Adolescent","Invalid")))</f>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IF(L299&gt;54,"Old", IF(L299&gt;=31,"Middle Age", IF(L299&lt;31,"Adolescent","Invalid")))</f>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IF(L300&gt;54,"Old", IF(L300&gt;=31,"Middle Age", IF(L300&lt;31,"Adolescent","Invalid")))</f>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IF(L301&gt;54,"Old", IF(L301&gt;=31,"Middle Age", IF(L301&lt;31,"Adolescent","Invalid")))</f>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IF(L302&gt;54,"Old", IF(L302&gt;=31,"Middle Age", IF(L302&lt;31,"Adolescent","Invalid")))</f>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IF(L303&gt;54,"Old", IF(L303&gt;=31,"Middle Age", IF(L303&lt;31,"Adolescent","Invalid")))</f>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IF(L304&gt;54,"Old", IF(L304&gt;=31,"Middle Age", IF(L304&lt;31,"Adolescent","Invalid")))</f>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IF(L305&gt;54,"Old", IF(L305&gt;=31,"Middle Age", IF(L305&lt;31,"Adolescent","Invalid")))</f>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IF(L306&gt;54,"Old", IF(L306&gt;=31,"Middle Age", IF(L306&lt;31,"Adolescent","Invalid")))</f>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IF(L307&gt;54,"Old", IF(L307&gt;=31,"Middle Age", IF(L307&lt;31,"Adolescent","Invalid")))</f>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IF(L308&gt;54,"Old", IF(L308&gt;=31,"Middle Age", IF(L308&lt;31,"Adolescent","Invalid")))</f>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IF(L309&gt;54,"Old", IF(L309&gt;=31,"Middle Age", IF(L309&lt;31,"Adolescent","Invalid")))</f>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IF(L310&gt;54,"Old", IF(L310&gt;=31,"Middle Age", IF(L310&lt;31,"Adolescent","Invalid")))</f>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IF(L311&gt;54,"Old", IF(L311&gt;=31,"Middle Age", IF(L311&lt;31,"Adolescent","Invalid")))</f>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IF(L312&gt;54,"Old", IF(L312&gt;=31,"Middle Age", IF(L312&lt;31,"Adolescent","Invalid")))</f>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IF(L313&gt;54,"Old", IF(L313&gt;=31,"Middle Age", IF(L313&lt;31,"Adolescent","Invalid")))</f>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IF(L314&gt;54,"Old", IF(L314&gt;=31,"Middle Age", IF(L314&lt;31,"Adolescent","Invalid")))</f>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IF(L315&gt;54,"Old", IF(L315&gt;=31,"Middle Age", IF(L315&lt;31,"Adolescent","Invalid")))</f>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IF(L316&gt;54,"Old", IF(L316&gt;=31,"Middle Age", IF(L316&lt;31,"Adolescent","Invalid")))</f>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IF(L317&gt;54,"Old", IF(L317&gt;=31,"Middle Age", IF(L317&lt;31,"Adolescent","Invalid")))</f>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IF(L318&gt;54,"Old", IF(L318&gt;=31,"Middle Age", IF(L318&lt;31,"Adolescent","Invalid")))</f>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IF(L319&gt;54,"Old", IF(L319&gt;=31,"Middle Age", IF(L319&lt;31,"Adolescent","Invalid")))</f>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IF(L320&gt;54,"Old", IF(L320&gt;=31,"Middle Age", IF(L320&lt;31,"Adolescent","Invalid")))</f>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IF(L321&gt;54,"Old", IF(L321&gt;=31,"Middle Age", IF(L321&lt;31,"Adolescent","Invalid")))</f>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IF(L322&gt;54,"Old", IF(L322&gt;=31,"Middle Age", IF(L322&lt;31,"Adolescent","Invalid")))</f>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IF(L323&gt;54,"Old", IF(L323&gt;=31,"Middle Age", 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IF(L324&gt;54,"Old", IF(L324&gt;=31,"Middle Age", IF(L324&lt;31,"Adolescent","Invalid")))</f>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IF(L325&gt;54,"Old", IF(L325&gt;=31,"Middle Age", IF(L325&lt;31,"Adolescent","Invalid")))</f>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IF(L326&gt;54,"Old", IF(L326&gt;=31,"Middle Age", IF(L326&lt;31,"Adolescent","Invalid")))</f>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IF(L327&gt;54,"Old", IF(L327&gt;=31,"Middle Age", IF(L327&lt;31,"Adolescent","Invalid")))</f>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IF(L328&gt;54,"Old", IF(L328&gt;=31,"Middle Age", IF(L328&lt;31,"Adolescent","Invalid")))</f>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IF(L329&gt;54,"Old", IF(L329&gt;=31,"Middle Age", IF(L329&lt;31,"Adolescent","Invalid")))</f>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IF(L330&gt;54,"Old", IF(L330&gt;=31,"Middle Age", IF(L330&lt;31,"Adolescent","Invalid")))</f>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IF(L331&gt;54,"Old", IF(L331&gt;=31,"Middle Age", IF(L331&lt;31,"Adolescent","Invalid")))</f>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IF(L332&gt;54,"Old", IF(L332&gt;=31,"Middle Age", IF(L332&lt;31,"Adolescent","Invalid")))</f>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IF(L333&gt;54,"Old", IF(L333&gt;=31,"Middle Age", IF(L333&lt;31,"Adolescent","Invalid")))</f>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IF(L334&gt;54,"Old", IF(L334&gt;=31,"Middle Age", IF(L334&lt;31,"Adolescent","Invalid")))</f>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IF(L335&gt;54,"Old", IF(L335&gt;=31,"Middle Age", IF(L335&lt;31,"Adolescent","Invalid")))</f>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IF(L336&gt;54,"Old", IF(L336&gt;=31,"Middle Age", IF(L336&lt;31,"Adolescent","Invalid")))</f>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IF(L337&gt;54,"Old", IF(L337&gt;=31,"Middle Age", IF(L337&lt;31,"Adolescent","Invalid")))</f>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IF(L338&gt;54,"Old", IF(L338&gt;=31,"Middle Age", IF(L338&lt;31,"Adolescent","Invalid")))</f>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IF(L339&gt;54,"Old", IF(L339&gt;=31,"Middle Age", IF(L339&lt;31,"Adolescent","Invalid")))</f>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IF(L340&gt;54,"Old", IF(L340&gt;=31,"Middle Age", IF(L340&lt;31,"Adolescent","Invalid")))</f>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IF(L341&gt;54,"Old", IF(L341&gt;=31,"Middle Age", IF(L341&lt;31,"Adolescent","Invalid")))</f>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IF(L342&gt;54,"Old", IF(L342&gt;=31,"Middle Age", IF(L342&lt;31,"Adolescent","Invalid")))</f>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IF(L343&gt;54,"Old", IF(L343&gt;=31,"Middle Age", IF(L343&lt;31,"Adolescent","Invalid")))</f>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IF(L344&gt;54,"Old", IF(L344&gt;=31,"Middle Age", IF(L344&lt;31,"Adolescent","Invalid")))</f>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IF(L345&gt;54,"Old", IF(L345&gt;=31,"Middle Age", IF(L345&lt;31,"Adolescent","Invalid")))</f>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IF(L346&gt;54,"Old", IF(L346&gt;=31,"Middle Age", IF(L346&lt;31,"Adolescent","Invalid")))</f>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IF(L347&gt;54,"Old", IF(L347&gt;=31,"Middle Age", IF(L347&lt;31,"Adolescent","Invalid")))</f>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IF(L348&gt;54,"Old", IF(L348&gt;=31,"Middle Age", IF(L348&lt;31,"Adolescent","Invalid")))</f>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IF(L349&gt;54,"Old", IF(L349&gt;=31,"Middle Age", IF(L349&lt;31,"Adolescent","Invalid")))</f>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IF(L350&gt;54,"Old", IF(L350&gt;=31,"Middle Age", IF(L350&lt;31,"Adolescent","Invalid")))</f>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IF(L351&gt;54,"Old", IF(L351&gt;=31,"Middle Age", IF(L351&lt;31,"Adolescent","Invalid")))</f>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IF(L352&gt;54,"Old", IF(L352&gt;=31,"Middle Age", IF(L352&lt;31,"Adolescent","Invalid")))</f>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IF(L353&gt;54,"Old", IF(L353&gt;=31,"Middle Age", IF(L353&lt;31,"Adolescent","Invalid")))</f>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IF(L354&gt;54,"Old", IF(L354&gt;=31,"Middle Age", IF(L354&lt;31,"Adolescent","Invalid")))</f>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IF(L355&gt;54,"Old", IF(L355&gt;=31,"Middle Age", IF(L355&lt;31,"Adolescent","Invalid")))</f>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IF(L356&gt;54,"Old", IF(L356&gt;=31,"Middle Age", IF(L356&lt;31,"Adolescent","Invalid")))</f>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IF(L357&gt;54,"Old", IF(L357&gt;=31,"Middle Age", IF(L357&lt;31,"Adolescent","Invalid")))</f>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IF(L358&gt;54,"Old", IF(L358&gt;=31,"Middle Age", IF(L358&lt;31,"Adolescent","Invalid")))</f>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IF(L359&gt;54,"Old", IF(L359&gt;=31,"Middle Age", IF(L359&lt;31,"Adolescent","Invalid")))</f>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IF(L360&gt;54,"Old", IF(L360&gt;=31,"Middle Age", IF(L360&lt;31,"Adolescent","Invalid")))</f>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IF(L361&gt;54,"Old", IF(L361&gt;=31,"Middle Age", IF(L361&lt;31,"Adolescent","Invalid")))</f>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IF(L362&gt;54,"Old", IF(L362&gt;=31,"Middle Age", IF(L362&lt;31,"Adolescent","Invalid")))</f>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IF(L363&gt;54,"Old", IF(L363&gt;=31,"Middle Age", IF(L363&lt;31,"Adolescent","Invalid")))</f>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IF(L364&gt;54,"Old", IF(L364&gt;=31,"Middle Age", IF(L364&lt;31,"Adolescent","Invalid")))</f>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IF(L365&gt;54,"Old", IF(L365&gt;=31,"Middle Age", IF(L365&lt;31,"Adolescent","Invalid")))</f>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IF(L366&gt;54,"Old", IF(L366&gt;=31,"Middle Age", IF(L366&lt;31,"Adolescent","Invalid")))</f>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IF(L367&gt;54,"Old", IF(L367&gt;=31,"Middle Age", IF(L367&lt;31,"Adolescent","Invalid")))</f>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IF(L368&gt;54,"Old", IF(L368&gt;=31,"Middle Age", IF(L368&lt;31,"Adolescent","Invalid")))</f>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IF(L369&gt;54,"Old", IF(L369&gt;=31,"Middle Age", IF(L369&lt;31,"Adolescent","Invalid")))</f>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IF(L370&gt;54,"Old", IF(L370&gt;=31,"Middle Age", IF(L370&lt;31,"Adolescent","Invalid")))</f>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IF(L371&gt;54,"Old", IF(L371&gt;=31,"Middle Age", IF(L371&lt;31,"Adolescent","Invalid")))</f>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IF(L372&gt;54,"Old", IF(L372&gt;=31,"Middle Age", IF(L372&lt;31,"Adolescent","Invalid")))</f>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IF(L373&gt;54,"Old", IF(L373&gt;=31,"Middle Age", IF(L373&lt;31,"Adolescent","Invalid")))</f>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IF(L374&gt;54,"Old", IF(L374&gt;=31,"Middle Age", IF(L374&lt;31,"Adolescent","Invalid")))</f>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IF(L375&gt;54,"Old", IF(L375&gt;=31,"Middle Age", IF(L375&lt;31,"Adolescent","Invalid")))</f>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IF(L376&gt;54,"Old", IF(L376&gt;=31,"Middle Age", IF(L376&lt;31,"Adolescent","Invalid")))</f>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IF(L377&gt;54,"Old", IF(L377&gt;=31,"Middle Age", IF(L377&lt;31,"Adolescent","Invalid")))</f>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IF(L378&gt;54,"Old", IF(L378&gt;=31,"Middle Age", IF(L378&lt;31,"Adolescent","Invalid")))</f>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IF(L379&gt;54,"Old", IF(L379&gt;=31,"Middle Age", IF(L379&lt;31,"Adolescent","Invalid")))</f>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IF(L380&gt;54,"Old", IF(L380&gt;=31,"Middle Age", IF(L380&lt;31,"Adolescent","Invalid")))</f>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IF(L381&gt;54,"Old", IF(L381&gt;=31,"Middle Age", IF(L381&lt;31,"Adolescent","Invalid")))</f>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IF(L382&gt;54,"Old", IF(L382&gt;=31,"Middle Age", IF(L382&lt;31,"Adolescent","Invalid")))</f>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IF(L383&gt;54,"Old", IF(L383&gt;=31,"Middle Age", IF(L383&lt;31,"Adolescent","Invalid")))</f>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IF(L384&gt;54,"Old", IF(L384&gt;=31,"Middle Age", IF(L384&lt;31,"Adolescent","Invalid")))</f>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IF(L385&gt;54,"Old", IF(L385&gt;=31,"Middle Age", IF(L385&lt;31,"Adolescent","Invalid")))</f>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IF(L386&gt;54,"Old", IF(L386&gt;=31,"Middle Age", IF(L386&lt;31,"Adolescent","Invalid")))</f>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IF(L387&gt;54,"Old", IF(L387&gt;=31,"Middle Age", 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IF(L388&gt;54,"Old", IF(L388&gt;=31,"Middle Age", IF(L388&lt;31,"Adolescent","Invalid")))</f>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IF(L389&gt;54,"Old", IF(L389&gt;=31,"Middle Age", IF(L389&lt;31,"Adolescent","Invalid")))</f>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IF(L390&gt;54,"Old", IF(L390&gt;=31,"Middle Age", IF(L390&lt;31,"Adolescent","Invalid")))</f>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IF(L391&gt;54,"Old", IF(L391&gt;=31,"Middle Age", IF(L391&lt;31,"Adolescent","Invalid")))</f>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IF(L392&gt;54,"Old", IF(L392&gt;=31,"Middle Age", IF(L392&lt;31,"Adolescent","Invalid")))</f>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IF(L393&gt;54,"Old", IF(L393&gt;=31,"Middle Age", IF(L393&lt;31,"Adolescent","Invalid")))</f>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IF(L394&gt;54,"Old", IF(L394&gt;=31,"Middle Age", IF(L394&lt;31,"Adolescent","Invalid")))</f>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IF(L395&gt;54,"Old", IF(L395&gt;=31,"Middle Age", IF(L395&lt;31,"Adolescent","Invalid")))</f>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IF(L396&gt;54,"Old", IF(L396&gt;=31,"Middle Age", IF(L396&lt;31,"Adolescent","Invalid")))</f>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IF(L397&gt;54,"Old", IF(L397&gt;=31,"Middle Age", IF(L397&lt;31,"Adolescent","Invalid")))</f>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IF(L398&gt;54,"Old", IF(L398&gt;=31,"Middle Age", IF(L398&lt;31,"Adolescent","Invalid")))</f>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IF(L399&gt;54,"Old", IF(L399&gt;=31,"Middle Age", IF(L399&lt;31,"Adolescent","Invalid")))</f>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IF(L400&gt;54,"Old", IF(L400&gt;=31,"Middle Age", IF(L400&lt;31,"Adolescent","Invalid")))</f>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IF(L401&gt;54,"Old", IF(L401&gt;=31,"Middle Age", IF(L401&lt;31,"Adolescent","Invalid")))</f>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IF(L402&gt;54,"Old", IF(L402&gt;=31,"Middle Age", IF(L402&lt;31,"Adolescent","Invalid")))</f>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IF(L403&gt;54,"Old", IF(L403&gt;=31,"Middle Age", IF(L403&lt;31,"Adolescent","Invalid")))</f>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IF(L404&gt;54,"Old", IF(L404&gt;=31,"Middle Age", IF(L404&lt;31,"Adolescent","Invalid")))</f>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IF(L405&gt;54,"Old", IF(L405&gt;=31,"Middle Age", IF(L405&lt;31,"Adolescent","Invalid")))</f>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IF(L406&gt;54,"Old", IF(L406&gt;=31,"Middle Age", IF(L406&lt;31,"Adolescent","Invalid")))</f>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IF(L407&gt;54,"Old", IF(L407&gt;=31,"Middle Age", IF(L407&lt;31,"Adolescent","Invalid")))</f>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IF(L408&gt;54,"Old", IF(L408&gt;=31,"Middle Age", IF(L408&lt;31,"Adolescent","Invalid")))</f>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IF(L409&gt;54,"Old", IF(L409&gt;=31,"Middle Age", IF(L409&lt;31,"Adolescent","Invalid")))</f>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IF(L410&gt;54,"Old", IF(L410&gt;=31,"Middle Age", IF(L410&lt;31,"Adolescent","Invalid")))</f>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IF(L411&gt;54,"Old", IF(L411&gt;=31,"Middle Age", IF(L411&lt;31,"Adolescent","Invalid")))</f>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IF(L412&gt;54,"Old", IF(L412&gt;=31,"Middle Age", IF(L412&lt;31,"Adolescent","Invalid")))</f>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IF(L413&gt;54,"Old", IF(L413&gt;=31,"Middle Age", IF(L413&lt;31,"Adolescent","Invalid")))</f>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IF(L414&gt;54,"Old", IF(L414&gt;=31,"Middle Age", IF(L414&lt;31,"Adolescent","Invalid")))</f>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IF(L415&gt;54,"Old", IF(L415&gt;=31,"Middle Age", IF(L415&lt;31,"Adolescent","Invalid")))</f>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IF(L416&gt;54,"Old", IF(L416&gt;=31,"Middle Age", IF(L416&lt;31,"Adolescent","Invalid")))</f>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IF(L417&gt;54,"Old", IF(L417&gt;=31,"Middle Age", IF(L417&lt;31,"Adolescent","Invalid")))</f>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IF(L418&gt;54,"Old", IF(L418&gt;=31,"Middle Age", IF(L418&lt;31,"Adolescent","Invalid")))</f>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IF(L419&gt;54,"Old", IF(L419&gt;=31,"Middle Age", IF(L419&lt;31,"Adolescent","Invalid")))</f>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IF(L420&gt;54,"Old", IF(L420&gt;=31,"Middle Age", IF(L420&lt;31,"Adolescent","Invalid")))</f>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IF(L421&gt;54,"Old", IF(L421&gt;=31,"Middle Age", IF(L421&lt;31,"Adolescent","Invalid")))</f>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IF(L422&gt;54,"Old", IF(L422&gt;=31,"Middle Age", IF(L422&lt;31,"Adolescent","Invalid")))</f>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IF(L423&gt;54,"Old", IF(L423&gt;=31,"Middle Age", IF(L423&lt;31,"Adolescent","Invalid")))</f>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IF(L424&gt;54,"Old", IF(L424&gt;=31,"Middle Age", IF(L424&lt;31,"Adolescent","Invalid")))</f>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IF(L425&gt;54,"Old", IF(L425&gt;=31,"Middle Age", IF(L425&lt;31,"Adolescent","Invalid")))</f>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IF(L426&gt;54,"Old", IF(L426&gt;=31,"Middle Age", IF(L426&lt;31,"Adolescent","Invalid")))</f>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IF(L427&gt;54,"Old", IF(L427&gt;=31,"Middle Age", IF(L427&lt;31,"Adolescent","Invalid")))</f>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IF(L428&gt;54,"Old", IF(L428&gt;=31,"Middle Age", IF(L428&lt;31,"Adolescent","Invalid")))</f>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IF(L429&gt;54,"Old", IF(L429&gt;=31,"Middle Age", IF(L429&lt;31,"Adolescent","Invalid")))</f>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IF(L430&gt;54,"Old", IF(L430&gt;=31,"Middle Age", IF(L430&lt;31,"Adolescent","Invalid")))</f>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IF(L431&gt;54,"Old", IF(L431&gt;=31,"Middle Age", IF(L431&lt;31,"Adolescent","Invalid")))</f>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IF(L432&gt;54,"Old", IF(L432&gt;=31,"Middle Age", IF(L432&lt;31,"Adolescent","Invalid")))</f>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IF(L433&gt;54,"Old", IF(L433&gt;=31,"Middle Age", IF(L433&lt;31,"Adolescent","Invalid")))</f>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IF(L434&gt;54,"Old", IF(L434&gt;=31,"Middle Age", IF(L434&lt;31,"Adolescent","Invalid")))</f>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IF(L435&gt;54,"Old", IF(L435&gt;=31,"Middle Age", IF(L435&lt;31,"Adolescent","Invalid")))</f>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IF(L436&gt;54,"Old", IF(L436&gt;=31,"Middle Age", IF(L436&lt;31,"Adolescent","Invalid")))</f>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IF(L437&gt;54,"Old", IF(L437&gt;=31,"Middle Age", IF(L437&lt;31,"Adolescent","Invalid")))</f>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IF(L438&gt;54,"Old", IF(L438&gt;=31,"Middle Age", IF(L438&lt;31,"Adolescent","Invalid")))</f>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IF(L439&gt;54,"Old", IF(L439&gt;=31,"Middle Age", IF(L439&lt;31,"Adolescent","Invalid")))</f>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IF(L440&gt;54,"Old", IF(L440&gt;=31,"Middle Age", IF(L440&lt;31,"Adolescent","Invalid")))</f>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IF(L441&gt;54,"Old", IF(L441&gt;=31,"Middle Age", IF(L441&lt;31,"Adolescent","Invalid")))</f>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IF(L442&gt;54,"Old", IF(L442&gt;=31,"Middle Age", IF(L442&lt;31,"Adolescent","Invalid")))</f>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IF(L443&gt;54,"Old", IF(L443&gt;=31,"Middle Age", IF(L443&lt;31,"Adolescent","Invalid")))</f>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IF(L444&gt;54,"Old", IF(L444&gt;=31,"Middle Age", IF(L444&lt;31,"Adolescent","Invalid")))</f>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IF(L445&gt;54,"Old", IF(L445&gt;=31,"Middle Age", IF(L445&lt;31,"Adolescent","Invalid")))</f>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IF(L446&gt;54,"Old", IF(L446&gt;=31,"Middle Age", IF(L446&lt;31,"Adolescent","Invalid")))</f>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IF(L447&gt;54,"Old", IF(L447&gt;=31,"Middle Age", IF(L447&lt;31,"Adolescent","Invalid")))</f>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IF(L448&gt;54,"Old", IF(L448&gt;=31,"Middle Age", IF(L448&lt;31,"Adolescent","Invalid")))</f>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IF(L449&gt;54,"Old", IF(L449&gt;=31,"Middle Age", IF(L449&lt;31,"Adolescent","Invalid")))</f>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IF(L450&gt;54,"Old", IF(L450&gt;=31,"Middle Age", IF(L450&lt;31,"Adolescent","Invalid")))</f>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IF(L451&gt;54,"Old", IF(L451&gt;=31,"Middle Age", 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IF(L452&gt;54,"Old", IF(L452&gt;=31,"Middle Age", IF(L452&lt;31,"Adolescent","Invalid")))</f>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IF(L453&gt;54,"Old", IF(L453&gt;=31,"Middle Age", IF(L453&lt;31,"Adolescent","Invalid")))</f>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IF(L454&gt;54,"Old", IF(L454&gt;=31,"Middle Age", IF(L454&lt;31,"Adolescent","Invalid")))</f>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IF(L455&gt;54,"Old", IF(L455&gt;=31,"Middle Age", IF(L455&lt;31,"Adolescent","Invalid")))</f>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IF(L456&gt;54,"Old", IF(L456&gt;=31,"Middle Age", IF(L456&lt;31,"Adolescent","Invalid")))</f>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IF(L457&gt;54,"Old", IF(L457&gt;=31,"Middle Age", IF(L457&lt;31,"Adolescent","Invalid")))</f>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IF(L458&gt;54,"Old", IF(L458&gt;=31,"Middle Age", IF(L458&lt;31,"Adolescent","Invalid")))</f>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IF(L459&gt;54,"Old", IF(L459&gt;=31,"Middle Age", IF(L459&lt;31,"Adolescent","Invalid")))</f>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IF(L460&gt;54,"Old", IF(L460&gt;=31,"Middle Age", IF(L460&lt;31,"Adolescent","Invalid")))</f>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IF(L461&gt;54,"Old", IF(L461&gt;=31,"Middle Age", IF(L461&lt;31,"Adolescent","Invalid")))</f>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IF(L462&gt;54,"Old", IF(L462&gt;=31,"Middle Age", IF(L462&lt;31,"Adolescent","Invalid")))</f>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IF(L463&gt;54,"Old", IF(L463&gt;=31,"Middle Age", IF(L463&lt;31,"Adolescent","Invalid")))</f>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IF(L464&gt;54,"Old", IF(L464&gt;=31,"Middle Age", IF(L464&lt;31,"Adolescent","Invalid")))</f>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IF(L465&gt;54,"Old", IF(L465&gt;=31,"Middle Age", IF(L465&lt;31,"Adolescent","Invalid")))</f>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IF(L466&gt;54,"Old", IF(L466&gt;=31,"Middle Age", IF(L466&lt;31,"Adolescent","Invalid")))</f>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IF(L467&gt;54,"Old", IF(L467&gt;=31,"Middle Age", IF(L467&lt;31,"Adolescent","Invalid")))</f>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IF(L468&gt;54,"Old", IF(L468&gt;=31,"Middle Age", IF(L468&lt;31,"Adolescent","Invalid")))</f>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IF(L469&gt;54,"Old", IF(L469&gt;=31,"Middle Age", IF(L469&lt;31,"Adolescent","Invalid")))</f>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IF(L470&gt;54,"Old", IF(L470&gt;=31,"Middle Age", IF(L470&lt;31,"Adolescent","Invalid")))</f>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IF(L471&gt;54,"Old", IF(L471&gt;=31,"Middle Age", IF(L471&lt;31,"Adolescent","Invalid")))</f>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IF(L472&gt;54,"Old", IF(L472&gt;=31,"Middle Age", IF(L472&lt;31,"Adolescent","Invalid")))</f>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IF(L473&gt;54,"Old", IF(L473&gt;=31,"Middle Age", IF(L473&lt;31,"Adolescent","Invalid")))</f>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IF(L474&gt;54,"Old", IF(L474&gt;=31,"Middle Age", IF(L474&lt;31,"Adolescent","Invalid")))</f>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IF(L475&gt;54,"Old", IF(L475&gt;=31,"Middle Age", IF(L475&lt;31,"Adolescent","Invalid")))</f>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IF(L476&gt;54,"Old", IF(L476&gt;=31,"Middle Age", IF(L476&lt;31,"Adolescent","Invalid")))</f>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IF(L477&gt;54,"Old", IF(L477&gt;=31,"Middle Age", IF(L477&lt;31,"Adolescent","Invalid")))</f>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IF(L478&gt;54,"Old", IF(L478&gt;=31,"Middle Age", IF(L478&lt;31,"Adolescent","Invalid")))</f>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IF(L479&gt;54,"Old", IF(L479&gt;=31,"Middle Age", IF(L479&lt;31,"Adolescent","Invalid")))</f>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IF(L480&gt;54,"Old", IF(L480&gt;=31,"Middle Age", IF(L480&lt;31,"Adolescent","Invalid")))</f>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IF(L481&gt;54,"Old", IF(L481&gt;=31,"Middle Age", IF(L481&lt;31,"Adolescent","Invalid")))</f>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IF(L482&gt;54,"Old", IF(L482&gt;=31,"Middle Age", IF(L482&lt;31,"Adolescent","Invalid")))</f>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IF(L483&gt;54,"Old", IF(L483&gt;=31,"Middle Age", IF(L483&lt;31,"Adolescent","Invalid")))</f>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IF(L484&gt;54,"Old", IF(L484&gt;=31,"Middle Age", IF(L484&lt;31,"Adolescent","Invalid")))</f>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IF(L485&gt;54,"Old", IF(L485&gt;=31,"Middle Age", IF(L485&lt;31,"Adolescent","Invalid")))</f>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IF(L486&gt;54,"Old", IF(L486&gt;=31,"Middle Age", IF(L486&lt;31,"Adolescent","Invalid")))</f>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IF(L487&gt;54,"Old", IF(L487&gt;=31,"Middle Age", IF(L487&lt;31,"Adolescent","Invalid")))</f>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IF(L488&gt;54,"Old", IF(L488&gt;=31,"Middle Age", IF(L488&lt;31,"Adolescent","Invalid")))</f>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IF(L489&gt;54,"Old", IF(L489&gt;=31,"Middle Age", IF(L489&lt;31,"Adolescent","Invalid")))</f>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IF(L490&gt;54,"Old", IF(L490&gt;=31,"Middle Age", IF(L490&lt;31,"Adolescent","Invalid")))</f>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IF(L491&gt;54,"Old", IF(L491&gt;=31,"Middle Age", IF(L491&lt;31,"Adolescent","Invalid")))</f>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IF(L492&gt;54,"Old", IF(L492&gt;=31,"Middle Age", IF(L492&lt;31,"Adolescent","Invalid")))</f>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IF(L493&gt;54,"Old", IF(L493&gt;=31,"Middle Age", IF(L493&lt;31,"Adolescent","Invalid")))</f>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IF(L494&gt;54,"Old", IF(L494&gt;=31,"Middle Age", IF(L494&lt;31,"Adolescent","Invalid")))</f>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IF(L495&gt;54,"Old", IF(L495&gt;=31,"Middle Age", IF(L495&lt;31,"Adolescent","Invalid")))</f>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IF(L496&gt;54,"Old", IF(L496&gt;=31,"Middle Age", IF(L496&lt;31,"Adolescent","Invalid")))</f>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IF(L497&gt;54,"Old", IF(L497&gt;=31,"Middle Age", IF(L497&lt;31,"Adolescent","Invalid")))</f>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IF(L498&gt;54,"Old", IF(L498&gt;=31,"Middle Age", IF(L498&lt;31,"Adolescent","Invalid")))</f>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IF(L499&gt;54,"Old", IF(L499&gt;=31,"Middle Age", IF(L499&lt;31,"Adolescent","Invalid")))</f>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IF(L500&gt;54,"Old", IF(L500&gt;=31,"Middle Age", IF(L500&lt;31,"Adolescent","Invalid")))</f>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IF(L501&gt;54,"Old", IF(L501&gt;=31,"Middle Age", IF(L501&lt;31,"Adolescent","Invalid")))</f>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IF(L502&gt;54,"Old", IF(L502&gt;=31,"Middle Age", IF(L502&lt;31,"Adolescent","Invalid")))</f>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IF(L503&gt;54,"Old", IF(L503&gt;=31,"Middle Age", IF(L503&lt;31,"Adolescent","Invalid")))</f>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IF(L504&gt;54,"Old", IF(L504&gt;=31,"Middle Age", IF(L504&lt;31,"Adolescent","Invalid")))</f>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IF(L505&gt;54,"Old", IF(L505&gt;=31,"Middle Age", IF(L505&lt;31,"Adolescent","Invalid")))</f>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IF(L506&gt;54,"Old", IF(L506&gt;=31,"Middle Age", IF(L506&lt;31,"Adolescent","Invalid")))</f>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IF(L507&gt;54,"Old", IF(L507&gt;=31,"Middle Age", IF(L507&lt;31,"Adolescent","Invalid")))</f>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IF(L508&gt;54,"Old", IF(L508&gt;=31,"Middle Age", IF(L508&lt;31,"Adolescent","Invalid")))</f>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IF(L509&gt;54,"Old", IF(L509&gt;=31,"Middle Age", IF(L509&lt;31,"Adolescent","Invalid")))</f>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IF(L510&gt;54,"Old", IF(L510&gt;=31,"Middle Age", IF(L510&lt;31,"Adolescent","Invalid")))</f>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IF(L511&gt;54,"Old", IF(L511&gt;=31,"Middle Age", IF(L511&lt;31,"Adolescent","Invalid")))</f>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IF(L512&gt;54,"Old", IF(L512&gt;=31,"Middle Age", IF(L512&lt;31,"Adolescent","Invalid")))</f>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IF(L513&gt;54,"Old", IF(L513&gt;=31,"Middle Age", IF(L513&lt;31,"Adolescent","Invalid")))</f>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IF(L514&gt;54,"Old", IF(L514&gt;=31,"Middle Age", IF(L514&lt;31,"Adolescent","Invalid")))</f>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IF(L515&gt;54,"Old", IF(L515&gt;=31,"Middle Age", 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IF(L516&gt;54,"Old", IF(L516&gt;=31,"Middle Age", IF(L516&lt;31,"Adolescent","Invalid")))</f>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IF(L517&gt;54,"Old", IF(L517&gt;=31,"Middle Age", IF(L517&lt;31,"Adolescent","Invalid")))</f>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IF(L518&gt;54,"Old", IF(L518&gt;=31,"Middle Age", IF(L518&lt;31,"Adolescent","Invalid")))</f>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IF(L519&gt;54,"Old", IF(L519&gt;=31,"Middle Age", IF(L519&lt;31,"Adolescent","Invalid")))</f>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IF(L520&gt;54,"Old", IF(L520&gt;=31,"Middle Age", IF(L520&lt;31,"Adolescent","Invalid")))</f>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IF(L521&gt;54,"Old", IF(L521&gt;=31,"Middle Age", IF(L521&lt;31,"Adolescent","Invalid")))</f>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IF(L522&gt;54,"Old", IF(L522&gt;=31,"Middle Age", IF(L522&lt;31,"Adolescent","Invalid")))</f>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IF(L523&gt;54,"Old", IF(L523&gt;=31,"Middle Age", IF(L523&lt;31,"Adolescent","Invalid")))</f>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IF(L524&gt;54,"Old", IF(L524&gt;=31,"Middle Age", IF(L524&lt;31,"Adolescent","Invalid")))</f>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IF(L525&gt;54,"Old", IF(L525&gt;=31,"Middle Age", IF(L525&lt;31,"Adolescent","Invalid")))</f>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IF(L526&gt;54,"Old", IF(L526&gt;=31,"Middle Age", IF(L526&lt;31,"Adolescent","Invalid")))</f>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IF(L527&gt;54,"Old", IF(L527&gt;=31,"Middle Age", IF(L527&lt;31,"Adolescent","Invalid")))</f>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IF(L528&gt;54,"Old", IF(L528&gt;=31,"Middle Age", IF(L528&lt;31,"Adolescent","Invalid")))</f>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IF(L529&gt;54,"Old", IF(L529&gt;=31,"Middle Age", IF(L529&lt;31,"Adolescent","Invalid")))</f>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IF(L530&gt;54,"Old", IF(L530&gt;=31,"Middle Age", IF(L530&lt;31,"Adolescent","Invalid")))</f>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IF(L531&gt;54,"Old", IF(L531&gt;=31,"Middle Age", IF(L531&lt;31,"Adolescent","Invalid")))</f>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IF(L532&gt;54,"Old", IF(L532&gt;=31,"Middle Age", IF(L532&lt;31,"Adolescent","Invalid")))</f>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IF(L533&gt;54,"Old", IF(L533&gt;=31,"Middle Age", IF(L533&lt;31,"Adolescent","Invalid")))</f>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IF(L534&gt;54,"Old", IF(L534&gt;=31,"Middle Age", IF(L534&lt;31,"Adolescent","Invalid")))</f>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IF(L535&gt;54,"Old", IF(L535&gt;=31,"Middle Age", IF(L535&lt;31,"Adolescent","Invalid")))</f>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IF(L536&gt;54,"Old", IF(L536&gt;=31,"Middle Age", IF(L536&lt;31,"Adolescent","Invalid")))</f>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IF(L537&gt;54,"Old", IF(L537&gt;=31,"Middle Age", IF(L537&lt;31,"Adolescent","Invalid")))</f>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IF(L538&gt;54,"Old", IF(L538&gt;=31,"Middle Age", IF(L538&lt;31,"Adolescent","Invalid")))</f>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IF(L539&gt;54,"Old", IF(L539&gt;=31,"Middle Age", IF(L539&lt;31,"Adolescent","Invalid")))</f>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IF(L540&gt;54,"Old", IF(L540&gt;=31,"Middle Age", IF(L540&lt;31,"Adolescent","Invalid")))</f>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IF(L541&gt;54,"Old", IF(L541&gt;=31,"Middle Age", IF(L541&lt;31,"Adolescent","Invalid")))</f>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IF(L542&gt;54,"Old", IF(L542&gt;=31,"Middle Age", IF(L542&lt;31,"Adolescent","Invalid")))</f>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IF(L543&gt;54,"Old", IF(L543&gt;=31,"Middle Age", IF(L543&lt;31,"Adolescent","Invalid")))</f>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IF(L544&gt;54,"Old", IF(L544&gt;=31,"Middle Age", IF(L544&lt;31,"Adolescent","Invalid")))</f>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IF(L545&gt;54,"Old", IF(L545&gt;=31,"Middle Age", IF(L545&lt;31,"Adolescent","Invalid")))</f>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IF(L546&gt;54,"Old", IF(L546&gt;=31,"Middle Age", IF(L546&lt;31,"Adolescent","Invalid")))</f>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IF(L547&gt;54,"Old", IF(L547&gt;=31,"Middle Age", IF(L547&lt;31,"Adolescent","Invalid")))</f>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IF(L548&gt;54,"Old", IF(L548&gt;=31,"Middle Age", IF(L548&lt;31,"Adolescent","Invalid")))</f>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IF(L549&gt;54,"Old", IF(L549&gt;=31,"Middle Age", IF(L549&lt;31,"Adolescent","Invalid")))</f>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IF(L550&gt;54,"Old", IF(L550&gt;=31,"Middle Age", IF(L550&lt;31,"Adolescent","Invalid")))</f>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IF(L551&gt;54,"Old", IF(L551&gt;=31,"Middle Age", IF(L551&lt;31,"Adolescent","Invalid")))</f>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IF(L552&gt;54,"Old", IF(L552&gt;=31,"Middle Age", IF(L552&lt;31,"Adolescent","Invalid")))</f>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IF(L553&gt;54,"Old", IF(L553&gt;=31,"Middle Age", IF(L553&lt;31,"Adolescent","Invalid")))</f>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IF(L554&gt;54,"Old", IF(L554&gt;=31,"Middle Age", IF(L554&lt;31,"Adolescent","Invalid")))</f>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IF(L555&gt;54,"Old", IF(L555&gt;=31,"Middle Age", IF(L555&lt;31,"Adolescent","Invalid")))</f>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IF(L556&gt;54,"Old", IF(L556&gt;=31,"Middle Age", IF(L556&lt;31,"Adolescent","Invalid")))</f>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IF(L557&gt;54,"Old", IF(L557&gt;=31,"Middle Age", IF(L557&lt;31,"Adolescent","Invalid")))</f>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IF(L558&gt;54,"Old", IF(L558&gt;=31,"Middle Age", IF(L558&lt;31,"Adolescent","Invalid")))</f>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IF(L559&gt;54,"Old", IF(L559&gt;=31,"Middle Age", IF(L559&lt;31,"Adolescent","Invalid")))</f>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IF(L560&gt;54,"Old", IF(L560&gt;=31,"Middle Age", IF(L560&lt;31,"Adolescent","Invalid")))</f>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IF(L561&gt;54,"Old", IF(L561&gt;=31,"Middle Age", IF(L561&lt;31,"Adolescent","Invalid")))</f>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IF(L562&gt;54,"Old", IF(L562&gt;=31,"Middle Age", IF(L562&lt;31,"Adolescent","Invalid")))</f>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IF(L563&gt;54,"Old", IF(L563&gt;=31,"Middle Age", IF(L563&lt;31,"Adolescent","Invalid")))</f>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IF(L564&gt;54,"Old", IF(L564&gt;=31,"Middle Age", IF(L564&lt;31,"Adolescent","Invalid")))</f>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IF(L565&gt;54,"Old", IF(L565&gt;=31,"Middle Age", IF(L565&lt;31,"Adolescent","Invalid")))</f>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IF(L566&gt;54,"Old", IF(L566&gt;=31,"Middle Age", IF(L566&lt;31,"Adolescent","Invalid")))</f>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IF(L567&gt;54,"Old", IF(L567&gt;=31,"Middle Age", IF(L567&lt;31,"Adolescent","Invalid")))</f>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IF(L568&gt;54,"Old", IF(L568&gt;=31,"Middle Age", IF(L568&lt;31,"Adolescent","Invalid")))</f>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IF(L569&gt;54,"Old", IF(L569&gt;=31,"Middle Age", IF(L569&lt;31,"Adolescent","Invalid")))</f>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IF(L570&gt;54,"Old", IF(L570&gt;=31,"Middle Age", IF(L570&lt;31,"Adolescent","Invalid")))</f>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IF(L571&gt;54,"Old", IF(L571&gt;=31,"Middle Age", IF(L571&lt;31,"Adolescent","Invalid")))</f>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IF(L572&gt;54,"Old", IF(L572&gt;=31,"Middle Age", IF(L572&lt;31,"Adolescent","Invalid")))</f>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IF(L573&gt;54,"Old", IF(L573&gt;=31,"Middle Age", IF(L573&lt;31,"Adolescent","Invalid")))</f>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IF(L574&gt;54,"Old", IF(L574&gt;=31,"Middle Age", IF(L574&lt;31,"Adolescent","Invalid")))</f>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IF(L575&gt;54,"Old", IF(L575&gt;=31,"Middle Age", IF(L575&lt;31,"Adolescent","Invalid")))</f>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IF(L576&gt;54,"Old", IF(L576&gt;=31,"Middle Age", IF(L576&lt;31,"Adolescent","Invalid")))</f>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IF(L577&gt;54,"Old", IF(L577&gt;=31,"Middle Age", IF(L577&lt;31,"Adolescent","Invalid")))</f>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IF(L578&gt;54,"Old", IF(L578&gt;=31,"Middle Age", IF(L578&lt;31,"Adolescent","Invalid")))</f>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IF(L579&gt;54,"Old", IF(L579&gt;=31,"Middle Age", 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IF(L580&gt;54,"Old", IF(L580&gt;=31,"Middle Age", IF(L580&lt;31,"Adolescent","Invalid")))</f>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IF(L581&gt;54,"Old", IF(L581&gt;=31,"Middle Age", IF(L581&lt;31,"Adolescent","Invalid")))</f>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IF(L582&gt;54,"Old", IF(L582&gt;=31,"Middle Age", IF(L582&lt;31,"Adolescent","Invalid")))</f>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IF(L583&gt;54,"Old", IF(L583&gt;=31,"Middle Age", IF(L583&lt;31,"Adolescent","Invalid")))</f>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IF(L584&gt;54,"Old", IF(L584&gt;=31,"Middle Age", IF(L584&lt;31,"Adolescent","Invalid")))</f>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IF(L585&gt;54,"Old", IF(L585&gt;=31,"Middle Age", IF(L585&lt;31,"Adolescent","Invalid")))</f>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IF(L586&gt;54,"Old", IF(L586&gt;=31,"Middle Age", IF(L586&lt;31,"Adolescent","Invalid")))</f>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IF(L587&gt;54,"Old", IF(L587&gt;=31,"Middle Age", IF(L587&lt;31,"Adolescent","Invalid")))</f>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IF(L588&gt;54,"Old", IF(L588&gt;=31,"Middle Age", IF(L588&lt;31,"Adolescent","Invalid")))</f>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IF(L589&gt;54,"Old", IF(L589&gt;=31,"Middle Age", IF(L589&lt;31,"Adolescent","Invalid")))</f>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IF(L590&gt;54,"Old", IF(L590&gt;=31,"Middle Age", IF(L590&lt;31,"Adolescent","Invalid")))</f>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IF(L591&gt;54,"Old", IF(L591&gt;=31,"Middle Age", IF(L591&lt;31,"Adolescent","Invalid")))</f>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IF(L592&gt;54,"Old", IF(L592&gt;=31,"Middle Age", IF(L592&lt;31,"Adolescent","Invalid")))</f>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IF(L593&gt;54,"Old", IF(L593&gt;=31,"Middle Age", IF(L593&lt;31,"Adolescent","Invalid")))</f>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IF(L594&gt;54,"Old", IF(L594&gt;=31,"Middle Age", IF(L594&lt;31,"Adolescent","Invalid")))</f>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IF(L595&gt;54,"Old", IF(L595&gt;=31,"Middle Age", IF(L595&lt;31,"Adolescent","Invalid")))</f>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IF(L596&gt;54,"Old", IF(L596&gt;=31,"Middle Age", IF(L596&lt;31,"Adolescent","Invalid")))</f>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IF(L597&gt;54,"Old", IF(L597&gt;=31,"Middle Age", IF(L597&lt;31,"Adolescent","Invalid")))</f>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IF(L598&gt;54,"Old", IF(L598&gt;=31,"Middle Age", IF(L598&lt;31,"Adolescent","Invalid")))</f>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IF(L599&gt;54,"Old", IF(L599&gt;=31,"Middle Age", IF(L599&lt;31,"Adolescent","Invalid")))</f>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IF(L600&gt;54,"Old", IF(L600&gt;=31,"Middle Age", IF(L600&lt;31,"Adolescent","Invalid")))</f>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IF(L601&gt;54,"Old", IF(L601&gt;=31,"Middle Age", IF(L601&lt;31,"Adolescent","Invalid")))</f>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IF(L602&gt;54,"Old", IF(L602&gt;=31,"Middle Age", IF(L602&lt;31,"Adolescent","Invalid")))</f>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IF(L603&gt;54,"Old", IF(L603&gt;=31,"Middle Age", IF(L603&lt;31,"Adolescent","Invalid")))</f>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IF(L604&gt;54,"Old", IF(L604&gt;=31,"Middle Age", IF(L604&lt;31,"Adolescent","Invalid")))</f>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IF(L605&gt;54,"Old", IF(L605&gt;=31,"Middle Age", IF(L605&lt;31,"Adolescent","Invalid")))</f>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IF(L606&gt;54,"Old", IF(L606&gt;=31,"Middle Age", IF(L606&lt;31,"Adolescent","Invalid")))</f>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IF(L607&gt;54,"Old", IF(L607&gt;=31,"Middle Age", IF(L607&lt;31,"Adolescent","Invalid")))</f>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IF(L608&gt;54,"Old", IF(L608&gt;=31,"Middle Age", IF(L608&lt;31,"Adolescent","Invalid")))</f>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IF(L609&gt;54,"Old", IF(L609&gt;=31,"Middle Age", IF(L609&lt;31,"Adolescent","Invalid")))</f>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IF(L610&gt;54,"Old", IF(L610&gt;=31,"Middle Age", IF(L610&lt;31,"Adolescent","Invalid")))</f>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IF(L611&gt;54,"Old", IF(L611&gt;=31,"Middle Age", IF(L611&lt;31,"Adolescent","Invalid")))</f>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IF(L612&gt;54,"Old", IF(L612&gt;=31,"Middle Age", IF(L612&lt;31,"Adolescent","Invalid")))</f>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IF(L613&gt;54,"Old", IF(L613&gt;=31,"Middle Age", IF(L613&lt;31,"Adolescent","Invalid")))</f>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IF(L614&gt;54,"Old", IF(L614&gt;=31,"Middle Age", IF(L614&lt;31,"Adolescent","Invalid")))</f>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IF(L615&gt;54,"Old", IF(L615&gt;=31,"Middle Age", IF(L615&lt;31,"Adolescent","Invalid")))</f>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IF(L616&gt;54,"Old", IF(L616&gt;=31,"Middle Age", IF(L616&lt;31,"Adolescent","Invalid")))</f>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IF(L617&gt;54,"Old", IF(L617&gt;=31,"Middle Age", IF(L617&lt;31,"Adolescent","Invalid")))</f>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IF(L618&gt;54,"Old", IF(L618&gt;=31,"Middle Age", IF(L618&lt;31,"Adolescent","Invalid")))</f>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IF(L619&gt;54,"Old", IF(L619&gt;=31,"Middle Age", IF(L619&lt;31,"Adolescent","Invalid")))</f>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IF(L620&gt;54,"Old", IF(L620&gt;=31,"Middle Age", IF(L620&lt;31,"Adolescent","Invalid")))</f>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IF(L621&gt;54,"Old", IF(L621&gt;=31,"Middle Age", IF(L621&lt;31,"Adolescent","Invalid")))</f>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IF(L622&gt;54,"Old", IF(L622&gt;=31,"Middle Age", IF(L622&lt;31,"Adolescent","Invalid")))</f>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IF(L623&gt;54,"Old", IF(L623&gt;=31,"Middle Age", IF(L623&lt;31,"Adolescent","Invalid")))</f>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IF(L624&gt;54,"Old", IF(L624&gt;=31,"Middle Age", IF(L624&lt;31,"Adolescent","Invalid")))</f>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IF(L625&gt;54,"Old", IF(L625&gt;=31,"Middle Age", IF(L625&lt;31,"Adolescent","Invalid")))</f>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IF(L626&gt;54,"Old", IF(L626&gt;=31,"Middle Age", IF(L626&lt;31,"Adolescent","Invalid")))</f>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IF(L627&gt;54,"Old", IF(L627&gt;=31,"Middle Age", IF(L627&lt;31,"Adolescent","Invalid")))</f>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IF(L628&gt;54,"Old", IF(L628&gt;=31,"Middle Age", IF(L628&lt;31,"Adolescent","Invalid")))</f>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IF(L629&gt;54,"Old", IF(L629&gt;=31,"Middle Age", IF(L629&lt;31,"Adolescent","Invalid")))</f>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IF(L630&gt;54,"Old", IF(L630&gt;=31,"Middle Age", IF(L630&lt;31,"Adolescent","Invalid")))</f>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IF(L631&gt;54,"Old", IF(L631&gt;=31,"Middle Age", IF(L631&lt;31,"Adolescent","Invalid")))</f>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IF(L632&gt;54,"Old", IF(L632&gt;=31,"Middle Age", IF(L632&lt;31,"Adolescent","Invalid")))</f>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IF(L633&gt;54,"Old", IF(L633&gt;=31,"Middle Age", IF(L633&lt;31,"Adolescent","Invalid")))</f>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IF(L634&gt;54,"Old", IF(L634&gt;=31,"Middle Age", IF(L634&lt;31,"Adolescent","Invalid")))</f>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IF(L635&gt;54,"Old", IF(L635&gt;=31,"Middle Age", IF(L635&lt;31,"Adolescent","Invalid")))</f>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IF(L636&gt;54,"Old", IF(L636&gt;=31,"Middle Age", IF(L636&lt;31,"Adolescent","Invalid")))</f>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IF(L637&gt;54,"Old", IF(L637&gt;=31,"Middle Age", IF(L637&lt;31,"Adolescent","Invalid")))</f>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IF(L638&gt;54,"Old", IF(L638&gt;=31,"Middle Age", IF(L638&lt;31,"Adolescent","Invalid")))</f>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IF(L639&gt;54,"Old", IF(L639&gt;=31,"Middle Age", IF(L639&lt;31,"Adolescent","Invalid")))</f>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IF(L640&gt;54,"Old", IF(L640&gt;=31,"Middle Age", IF(L640&lt;31,"Adolescent","Invalid")))</f>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IF(L641&gt;54,"Old", IF(L641&gt;=31,"Middle Age", IF(L641&lt;31,"Adolescent","Invalid")))</f>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IF(L642&gt;54,"Old", IF(L642&gt;=31,"Middle Age", IF(L642&lt;31,"Adolescent","Invalid")))</f>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IF(L643&gt;54,"Old", IF(L643&gt;=31,"Middle Age", 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IF(L644&gt;54,"Old", IF(L644&gt;=31,"Middle Age", IF(L644&lt;31,"Adolescent","Invalid")))</f>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IF(L645&gt;54,"Old", IF(L645&gt;=31,"Middle Age", IF(L645&lt;31,"Adolescent","Invalid")))</f>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IF(L646&gt;54,"Old", IF(L646&gt;=31,"Middle Age", IF(L646&lt;31,"Adolescent","Invalid")))</f>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IF(L647&gt;54,"Old", IF(L647&gt;=31,"Middle Age", IF(L647&lt;31,"Adolescent","Invalid")))</f>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IF(L648&gt;54,"Old", IF(L648&gt;=31,"Middle Age", IF(L648&lt;31,"Adolescent","Invalid")))</f>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IF(L649&gt;54,"Old", IF(L649&gt;=31,"Middle Age", IF(L649&lt;31,"Adolescent","Invalid")))</f>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IF(L650&gt;54,"Old", IF(L650&gt;=31,"Middle Age", IF(L650&lt;31,"Adolescent","Invalid")))</f>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IF(L651&gt;54,"Old", IF(L651&gt;=31,"Middle Age", IF(L651&lt;31,"Adolescent","Invalid")))</f>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IF(L652&gt;54,"Old", IF(L652&gt;=31,"Middle Age", IF(L652&lt;31,"Adolescent","Invalid")))</f>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IF(L653&gt;54,"Old", IF(L653&gt;=31,"Middle Age", IF(L653&lt;31,"Adolescent","Invalid")))</f>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IF(L654&gt;54,"Old", IF(L654&gt;=31,"Middle Age", IF(L654&lt;31,"Adolescent","Invalid")))</f>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IF(L655&gt;54,"Old", IF(L655&gt;=31,"Middle Age", IF(L655&lt;31,"Adolescent","Invalid")))</f>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IF(L656&gt;54,"Old", IF(L656&gt;=31,"Middle Age", IF(L656&lt;31,"Adolescent","Invalid")))</f>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IF(L657&gt;54,"Old", IF(L657&gt;=31,"Middle Age", IF(L657&lt;31,"Adolescent","Invalid")))</f>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IF(L658&gt;54,"Old", IF(L658&gt;=31,"Middle Age", IF(L658&lt;31,"Adolescent","Invalid")))</f>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IF(L659&gt;54,"Old", IF(L659&gt;=31,"Middle Age", IF(L659&lt;31,"Adolescent","Invalid")))</f>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IF(L660&gt;54,"Old", IF(L660&gt;=31,"Middle Age", IF(L660&lt;31,"Adolescent","Invalid")))</f>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IF(L661&gt;54,"Old", IF(L661&gt;=31,"Middle Age", IF(L661&lt;31,"Adolescent","Invalid")))</f>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IF(L662&gt;54,"Old", IF(L662&gt;=31,"Middle Age", IF(L662&lt;31,"Adolescent","Invalid")))</f>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IF(L663&gt;54,"Old", IF(L663&gt;=31,"Middle Age", IF(L663&lt;31,"Adolescent","Invalid")))</f>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IF(L664&gt;54,"Old", IF(L664&gt;=31,"Middle Age", IF(L664&lt;31,"Adolescent","Invalid")))</f>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IF(L665&gt;54,"Old", IF(L665&gt;=31,"Middle Age", IF(L665&lt;31,"Adolescent","Invalid")))</f>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IF(L666&gt;54,"Old", IF(L666&gt;=31,"Middle Age", IF(L666&lt;31,"Adolescent","Invalid")))</f>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IF(L667&gt;54,"Old", IF(L667&gt;=31,"Middle Age", IF(L667&lt;31,"Adolescent","Invalid")))</f>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IF(L668&gt;54,"Old", IF(L668&gt;=31,"Middle Age", IF(L668&lt;31,"Adolescent","Invalid")))</f>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IF(L669&gt;54,"Old", IF(L669&gt;=31,"Middle Age", IF(L669&lt;31,"Adolescent","Invalid")))</f>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IF(L670&gt;54,"Old", IF(L670&gt;=31,"Middle Age", IF(L670&lt;31,"Adolescent","Invalid")))</f>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IF(L671&gt;54,"Old", IF(L671&gt;=31,"Middle Age", IF(L671&lt;31,"Adolescent","Invalid")))</f>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IF(L672&gt;54,"Old", IF(L672&gt;=31,"Middle Age", IF(L672&lt;31,"Adolescent","Invalid")))</f>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IF(L673&gt;54,"Old", IF(L673&gt;=31,"Middle Age", IF(L673&lt;31,"Adolescent","Invalid")))</f>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IF(L674&gt;54,"Old", IF(L674&gt;=31,"Middle Age", IF(L674&lt;31,"Adolescent","Invalid")))</f>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IF(L675&gt;54,"Old", IF(L675&gt;=31,"Middle Age", IF(L675&lt;31,"Adolescent","Invalid")))</f>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IF(L676&gt;54,"Old", IF(L676&gt;=31,"Middle Age", IF(L676&lt;31,"Adolescent","Invalid")))</f>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IF(L677&gt;54,"Old", IF(L677&gt;=31,"Middle Age", IF(L677&lt;31,"Adolescent","Invalid")))</f>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IF(L678&gt;54,"Old", IF(L678&gt;=31,"Middle Age", IF(L678&lt;31,"Adolescent","Invalid")))</f>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IF(L679&gt;54,"Old", IF(L679&gt;=31,"Middle Age", IF(L679&lt;31,"Adolescent","Invalid")))</f>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IF(L680&gt;54,"Old", IF(L680&gt;=31,"Middle Age", IF(L680&lt;31,"Adolescent","Invalid")))</f>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IF(L681&gt;54,"Old", IF(L681&gt;=31,"Middle Age", IF(L681&lt;31,"Adolescent","Invalid")))</f>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IF(L682&gt;54,"Old", IF(L682&gt;=31,"Middle Age", IF(L682&lt;31,"Adolescent","Invalid")))</f>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IF(L683&gt;54,"Old", IF(L683&gt;=31,"Middle Age", IF(L683&lt;31,"Adolescent","Invalid")))</f>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IF(L684&gt;54,"Old", IF(L684&gt;=31,"Middle Age", IF(L684&lt;31,"Adolescent","Invalid")))</f>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IF(L685&gt;54,"Old", IF(L685&gt;=31,"Middle Age", IF(L685&lt;31,"Adolescent","Invalid")))</f>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IF(L686&gt;54,"Old", IF(L686&gt;=31,"Middle Age", IF(L686&lt;31,"Adolescent","Invalid")))</f>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IF(L687&gt;54,"Old", IF(L687&gt;=31,"Middle Age", IF(L687&lt;31,"Adolescent","Invalid")))</f>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IF(L688&gt;54,"Old", IF(L688&gt;=31,"Middle Age", IF(L688&lt;31,"Adolescent","Invalid")))</f>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IF(L689&gt;54,"Old", IF(L689&gt;=31,"Middle Age", IF(L689&lt;31,"Adolescent","Invalid")))</f>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IF(L690&gt;54,"Old", IF(L690&gt;=31,"Middle Age", IF(L690&lt;31,"Adolescent","Invalid")))</f>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IF(L691&gt;54,"Old", IF(L691&gt;=31,"Middle Age", IF(L691&lt;31,"Adolescent","Invalid")))</f>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IF(L692&gt;54,"Old", IF(L692&gt;=31,"Middle Age", IF(L692&lt;31,"Adolescent","Invalid")))</f>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IF(L693&gt;54,"Old", IF(L693&gt;=31,"Middle Age", IF(L693&lt;31,"Adolescent","Invalid")))</f>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IF(L694&gt;54,"Old", IF(L694&gt;=31,"Middle Age", IF(L694&lt;31,"Adolescent","Invalid")))</f>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IF(L695&gt;54,"Old", IF(L695&gt;=31,"Middle Age", IF(L695&lt;31,"Adolescent","Invalid")))</f>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IF(L696&gt;54,"Old", IF(L696&gt;=31,"Middle Age", IF(L696&lt;31,"Adolescent","Invalid")))</f>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IF(L697&gt;54,"Old", IF(L697&gt;=31,"Middle Age", IF(L697&lt;31,"Adolescent","Invalid")))</f>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IF(L698&gt;54,"Old", IF(L698&gt;=31,"Middle Age", IF(L698&lt;31,"Adolescent","Invalid")))</f>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IF(L699&gt;54,"Old", IF(L699&gt;=31,"Middle Age", IF(L699&lt;31,"Adolescent","Invalid")))</f>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IF(L700&gt;54,"Old", IF(L700&gt;=31,"Middle Age", IF(L700&lt;31,"Adolescent","Invalid")))</f>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IF(L701&gt;54,"Old", IF(L701&gt;=31,"Middle Age", IF(L701&lt;31,"Adolescent","Invalid")))</f>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IF(L702&gt;54,"Old", IF(L702&gt;=31,"Middle Age", IF(L702&lt;31,"Adolescent","Invalid")))</f>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IF(L703&gt;54,"Old", IF(L703&gt;=31,"Middle Age", IF(L703&lt;31,"Adolescent","Invalid")))</f>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IF(L704&gt;54,"Old", IF(L704&gt;=31,"Middle Age", IF(L704&lt;31,"Adolescent","Invalid")))</f>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IF(L705&gt;54,"Old", IF(L705&gt;=31,"Middle Age", IF(L705&lt;31,"Adolescent","Invalid")))</f>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IF(L706&gt;54,"Old", IF(L706&gt;=31,"Middle Age", IF(L706&lt;31,"Adolescent","Invalid")))</f>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IF(L707&gt;54,"Old", IF(L707&gt;=31,"Middle Age", 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IF(L708&gt;54,"Old", IF(L708&gt;=31,"Middle Age", IF(L708&lt;31,"Adolescent","Invalid")))</f>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IF(L709&gt;54,"Old", IF(L709&gt;=31,"Middle Age", IF(L709&lt;31,"Adolescent","Invalid")))</f>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IF(L710&gt;54,"Old", IF(L710&gt;=31,"Middle Age", IF(L710&lt;31,"Adolescent","Invalid")))</f>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IF(L711&gt;54,"Old", IF(L711&gt;=31,"Middle Age", IF(L711&lt;31,"Adolescent","Invalid")))</f>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IF(L712&gt;54,"Old", IF(L712&gt;=31,"Middle Age", IF(L712&lt;31,"Adolescent","Invalid")))</f>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IF(L713&gt;54,"Old", IF(L713&gt;=31,"Middle Age", IF(L713&lt;31,"Adolescent","Invalid")))</f>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IF(L714&gt;54,"Old", IF(L714&gt;=31,"Middle Age", IF(L714&lt;31,"Adolescent","Invalid")))</f>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IF(L715&gt;54,"Old", IF(L715&gt;=31,"Middle Age", IF(L715&lt;31,"Adolescent","Invalid")))</f>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IF(L716&gt;54,"Old", IF(L716&gt;=31,"Middle Age", IF(L716&lt;31,"Adolescent","Invalid")))</f>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IF(L717&gt;54,"Old", IF(L717&gt;=31,"Middle Age", IF(L717&lt;31,"Adolescent","Invalid")))</f>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IF(L718&gt;54,"Old", IF(L718&gt;=31,"Middle Age", IF(L718&lt;31,"Adolescent","Invalid")))</f>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IF(L719&gt;54,"Old", IF(L719&gt;=31,"Middle Age", IF(L719&lt;31,"Adolescent","Invalid")))</f>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IF(L720&gt;54,"Old", IF(L720&gt;=31,"Middle Age", IF(L720&lt;31,"Adolescent","Invalid")))</f>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IF(L721&gt;54,"Old", IF(L721&gt;=31,"Middle Age", IF(L721&lt;31,"Adolescent","Invalid")))</f>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IF(L722&gt;54,"Old", IF(L722&gt;=31,"Middle Age", IF(L722&lt;31,"Adolescent","Invalid")))</f>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IF(L723&gt;54,"Old", IF(L723&gt;=31,"Middle Age", IF(L723&lt;31,"Adolescent","Invalid")))</f>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IF(L724&gt;54,"Old", IF(L724&gt;=31,"Middle Age", IF(L724&lt;31,"Adolescent","Invalid")))</f>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IF(L725&gt;54,"Old", IF(L725&gt;=31,"Middle Age", IF(L725&lt;31,"Adolescent","Invalid")))</f>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IF(L726&gt;54,"Old", IF(L726&gt;=31,"Middle Age", IF(L726&lt;31,"Adolescent","Invalid")))</f>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IF(L727&gt;54,"Old", IF(L727&gt;=31,"Middle Age", IF(L727&lt;31,"Adolescent","Invalid")))</f>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IF(L728&gt;54,"Old", IF(L728&gt;=31,"Middle Age", IF(L728&lt;31,"Adolescent","Invalid")))</f>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IF(L729&gt;54,"Old", IF(L729&gt;=31,"Middle Age", IF(L729&lt;31,"Adolescent","Invalid")))</f>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IF(L730&gt;54,"Old", IF(L730&gt;=31,"Middle Age", IF(L730&lt;31,"Adolescent","Invalid")))</f>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IF(L731&gt;54,"Old", IF(L731&gt;=31,"Middle Age", IF(L731&lt;31,"Adolescent","Invalid")))</f>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IF(L732&gt;54,"Old", IF(L732&gt;=31,"Middle Age", IF(L732&lt;31,"Adolescent","Invalid")))</f>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IF(L733&gt;54,"Old", IF(L733&gt;=31,"Middle Age", IF(L733&lt;31,"Adolescent","Invalid")))</f>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IF(L734&gt;54,"Old", IF(L734&gt;=31,"Middle Age", IF(L734&lt;31,"Adolescent","Invalid")))</f>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IF(L735&gt;54,"Old", IF(L735&gt;=31,"Middle Age", IF(L735&lt;31,"Adolescent","Invalid")))</f>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IF(L736&gt;54,"Old", IF(L736&gt;=31,"Middle Age", IF(L736&lt;31,"Adolescent","Invalid")))</f>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IF(L737&gt;54,"Old", IF(L737&gt;=31,"Middle Age", IF(L737&lt;31,"Adolescent","Invalid")))</f>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IF(L738&gt;54,"Old", IF(L738&gt;=31,"Middle Age", IF(L738&lt;31,"Adolescent","Invalid")))</f>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IF(L739&gt;54,"Old", IF(L739&gt;=31,"Middle Age", IF(L739&lt;31,"Adolescent","Invalid")))</f>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IF(L740&gt;54,"Old", IF(L740&gt;=31,"Middle Age", IF(L740&lt;31,"Adolescent","Invalid")))</f>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IF(L741&gt;54,"Old", IF(L741&gt;=31,"Middle Age", IF(L741&lt;31,"Adolescent","Invalid")))</f>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IF(L742&gt;54,"Old", IF(L742&gt;=31,"Middle Age", IF(L742&lt;31,"Adolescent","Invalid")))</f>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IF(L743&gt;54,"Old", IF(L743&gt;=31,"Middle Age", IF(L743&lt;31,"Adolescent","Invalid")))</f>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IF(L744&gt;54,"Old", IF(L744&gt;=31,"Middle Age", IF(L744&lt;31,"Adolescent","Invalid")))</f>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IF(L745&gt;54,"Old", IF(L745&gt;=31,"Middle Age", IF(L745&lt;31,"Adolescent","Invalid")))</f>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IF(L746&gt;54,"Old", IF(L746&gt;=31,"Middle Age", IF(L746&lt;31,"Adolescent","Invalid")))</f>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IF(L747&gt;54,"Old", IF(L747&gt;=31,"Middle Age", IF(L747&lt;31,"Adolescent","Invalid")))</f>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IF(L748&gt;54,"Old", IF(L748&gt;=31,"Middle Age", IF(L748&lt;31,"Adolescent","Invalid")))</f>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IF(L749&gt;54,"Old", IF(L749&gt;=31,"Middle Age", IF(L749&lt;31,"Adolescent","Invalid")))</f>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IF(L750&gt;54,"Old", IF(L750&gt;=31,"Middle Age", IF(L750&lt;31,"Adolescent","Invalid")))</f>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IF(L751&gt;54,"Old", IF(L751&gt;=31,"Middle Age", IF(L751&lt;31,"Adolescent","Invalid")))</f>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IF(L752&gt;54,"Old", IF(L752&gt;=31,"Middle Age", IF(L752&lt;31,"Adolescent","Invalid")))</f>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IF(L753&gt;54,"Old", IF(L753&gt;=31,"Middle Age", IF(L753&lt;31,"Adolescent","Invalid")))</f>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IF(L754&gt;54,"Old", IF(L754&gt;=31,"Middle Age", IF(L754&lt;31,"Adolescent","Invalid")))</f>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IF(L755&gt;54,"Old", IF(L755&gt;=31,"Middle Age", IF(L755&lt;31,"Adolescent","Invalid")))</f>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IF(L756&gt;54,"Old", IF(L756&gt;=31,"Middle Age", IF(L756&lt;31,"Adolescent","Invalid")))</f>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IF(L757&gt;54,"Old", IF(L757&gt;=31,"Middle Age", IF(L757&lt;31,"Adolescent","Invalid")))</f>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IF(L758&gt;54,"Old", IF(L758&gt;=31,"Middle Age", IF(L758&lt;31,"Adolescent","Invalid")))</f>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IF(L759&gt;54,"Old", IF(L759&gt;=31,"Middle Age", IF(L759&lt;31,"Adolescent","Invalid")))</f>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IF(L760&gt;54,"Old", IF(L760&gt;=31,"Middle Age", IF(L760&lt;31,"Adolescent","Invalid")))</f>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IF(L761&gt;54,"Old", IF(L761&gt;=31,"Middle Age", IF(L761&lt;31,"Adolescent","Invalid")))</f>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IF(L762&gt;54,"Old", IF(L762&gt;=31,"Middle Age", IF(L762&lt;31,"Adolescent","Invalid")))</f>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IF(L763&gt;54,"Old", IF(L763&gt;=31,"Middle Age", IF(L763&lt;31,"Adolescent","Invalid")))</f>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IF(L764&gt;54,"Old", IF(L764&gt;=31,"Middle Age", IF(L764&lt;31,"Adolescent","Invalid")))</f>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IF(L765&gt;54,"Old", IF(L765&gt;=31,"Middle Age", IF(L765&lt;31,"Adolescent","Invalid")))</f>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IF(L766&gt;54,"Old", IF(L766&gt;=31,"Middle Age", IF(L766&lt;31,"Adolescent","Invalid")))</f>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IF(L767&gt;54,"Old", IF(L767&gt;=31,"Middle Age", IF(L767&lt;31,"Adolescent","Invalid")))</f>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IF(L768&gt;54,"Old", IF(L768&gt;=31,"Middle Age", IF(L768&lt;31,"Adolescent","Invalid")))</f>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IF(L769&gt;54,"Old", IF(L769&gt;=31,"Middle Age", IF(L769&lt;31,"Adolescent","Invalid")))</f>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IF(L770&gt;54,"Old", IF(L770&gt;=31,"Middle Age", IF(L770&lt;31,"Adolescent","Invalid")))</f>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IF(L771&gt;54,"Old", IF(L771&gt;=31,"Middle Age", 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IF(L772&gt;54,"Old", IF(L772&gt;=31,"Middle Age", IF(L772&lt;31,"Adolescent","Invalid")))</f>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IF(L773&gt;54,"Old", IF(L773&gt;=31,"Middle Age", IF(L773&lt;31,"Adolescent","Invalid")))</f>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IF(L774&gt;54,"Old", IF(L774&gt;=31,"Middle Age", IF(L774&lt;31,"Adolescent","Invalid")))</f>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IF(L775&gt;54,"Old", IF(L775&gt;=31,"Middle Age", IF(L775&lt;31,"Adolescent","Invalid")))</f>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IF(L776&gt;54,"Old", IF(L776&gt;=31,"Middle Age", IF(L776&lt;31,"Adolescent","Invalid")))</f>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IF(L777&gt;54,"Old", IF(L777&gt;=31,"Middle Age", IF(L777&lt;31,"Adolescent","Invalid")))</f>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IF(L778&gt;54,"Old", IF(L778&gt;=31,"Middle Age", IF(L778&lt;31,"Adolescent","Invalid")))</f>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IF(L779&gt;54,"Old", IF(L779&gt;=31,"Middle Age", IF(L779&lt;31,"Adolescent","Invalid")))</f>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IF(L780&gt;54,"Old", IF(L780&gt;=31,"Middle Age", IF(L780&lt;31,"Adolescent","Invalid")))</f>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IF(L781&gt;54,"Old", IF(L781&gt;=31,"Middle Age", IF(L781&lt;31,"Adolescent","Invalid")))</f>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IF(L782&gt;54,"Old", IF(L782&gt;=31,"Middle Age", IF(L782&lt;31,"Adolescent","Invalid")))</f>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IF(L783&gt;54,"Old", IF(L783&gt;=31,"Middle Age", IF(L783&lt;31,"Adolescent","Invalid")))</f>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IF(L784&gt;54,"Old", IF(L784&gt;=31,"Middle Age", IF(L784&lt;31,"Adolescent","Invalid")))</f>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IF(L785&gt;54,"Old", IF(L785&gt;=31,"Middle Age", IF(L785&lt;31,"Adolescent","Invalid")))</f>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IF(L786&gt;54,"Old", IF(L786&gt;=31,"Middle Age", IF(L786&lt;31,"Adolescent","Invalid")))</f>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IF(L787&gt;54,"Old", IF(L787&gt;=31,"Middle Age", IF(L787&lt;31,"Adolescent","Invalid")))</f>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IF(L788&gt;54,"Old", IF(L788&gt;=31,"Middle Age", IF(L788&lt;31,"Adolescent","Invalid")))</f>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IF(L789&gt;54,"Old", IF(L789&gt;=31,"Middle Age", IF(L789&lt;31,"Adolescent","Invalid")))</f>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IF(L790&gt;54,"Old", IF(L790&gt;=31,"Middle Age", IF(L790&lt;31,"Adolescent","Invalid")))</f>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IF(L791&gt;54,"Old", IF(L791&gt;=31,"Middle Age", IF(L791&lt;31,"Adolescent","Invalid")))</f>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IF(L792&gt;54,"Old", IF(L792&gt;=31,"Middle Age", IF(L792&lt;31,"Adolescent","Invalid")))</f>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IF(L793&gt;54,"Old", IF(L793&gt;=31,"Middle Age", IF(L793&lt;31,"Adolescent","Invalid")))</f>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IF(L794&gt;54,"Old", IF(L794&gt;=31,"Middle Age", IF(L794&lt;31,"Adolescent","Invalid")))</f>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IF(L795&gt;54,"Old", IF(L795&gt;=31,"Middle Age", IF(L795&lt;31,"Adolescent","Invalid")))</f>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IF(L796&gt;54,"Old", IF(L796&gt;=31,"Middle Age", IF(L796&lt;31,"Adolescent","Invalid")))</f>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IF(L797&gt;54,"Old", IF(L797&gt;=31,"Middle Age", IF(L797&lt;31,"Adolescent","Invalid")))</f>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IF(L798&gt;54,"Old", IF(L798&gt;=31,"Middle Age", IF(L798&lt;31,"Adolescent","Invalid")))</f>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IF(L799&gt;54,"Old", IF(L799&gt;=31,"Middle Age", IF(L799&lt;31,"Adolescent","Invalid")))</f>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IF(L800&gt;54,"Old", IF(L800&gt;=31,"Middle Age", IF(L800&lt;31,"Adolescent","Invalid")))</f>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IF(L801&gt;54,"Old", IF(L801&gt;=31,"Middle Age", IF(L801&lt;31,"Adolescent","Invalid")))</f>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IF(L802&gt;54,"Old", IF(L802&gt;=31,"Middle Age", IF(L802&lt;31,"Adolescent","Invalid")))</f>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IF(L803&gt;54,"Old", IF(L803&gt;=31,"Middle Age", IF(L803&lt;31,"Adolescent","Invalid")))</f>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IF(L804&gt;54,"Old", IF(L804&gt;=31,"Middle Age", IF(L804&lt;31,"Adolescent","Invalid")))</f>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IF(L805&gt;54,"Old", IF(L805&gt;=31,"Middle Age", IF(L805&lt;31,"Adolescent","Invalid")))</f>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IF(L806&gt;54,"Old", IF(L806&gt;=31,"Middle Age", IF(L806&lt;31,"Adolescent","Invalid")))</f>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IF(L807&gt;54,"Old", IF(L807&gt;=31,"Middle Age", IF(L807&lt;31,"Adolescent","Invalid")))</f>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IF(L808&gt;54,"Old", IF(L808&gt;=31,"Middle Age", IF(L808&lt;31,"Adolescent","Invalid")))</f>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IF(L809&gt;54,"Old", IF(L809&gt;=31,"Middle Age", IF(L809&lt;31,"Adolescent","Invalid")))</f>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IF(L810&gt;54,"Old", IF(L810&gt;=31,"Middle Age", IF(L810&lt;31,"Adolescent","Invalid")))</f>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IF(L811&gt;54,"Old", IF(L811&gt;=31,"Middle Age", IF(L811&lt;31,"Adolescent","Invalid")))</f>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IF(L812&gt;54,"Old", IF(L812&gt;=31,"Middle Age", IF(L812&lt;31,"Adolescent","Invalid")))</f>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IF(L813&gt;54,"Old", IF(L813&gt;=31,"Middle Age", IF(L813&lt;31,"Adolescent","Invalid")))</f>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IF(L814&gt;54,"Old", IF(L814&gt;=31,"Middle Age", IF(L814&lt;31,"Adolescent","Invalid")))</f>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IF(L815&gt;54,"Old", IF(L815&gt;=31,"Middle Age", IF(L815&lt;31,"Adolescent","Invalid")))</f>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IF(L816&gt;54,"Old", IF(L816&gt;=31,"Middle Age", IF(L816&lt;31,"Adolescent","Invalid")))</f>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IF(L817&gt;54,"Old", IF(L817&gt;=31,"Middle Age", IF(L817&lt;31,"Adolescent","Invalid")))</f>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IF(L818&gt;54,"Old", IF(L818&gt;=31,"Middle Age", IF(L818&lt;31,"Adolescent","Invalid")))</f>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IF(L819&gt;54,"Old", IF(L819&gt;=31,"Middle Age", IF(L819&lt;31,"Adolescent","Invalid")))</f>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IF(L820&gt;54,"Old", IF(L820&gt;=31,"Middle Age", IF(L820&lt;31,"Adolescent","Invalid")))</f>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IF(L821&gt;54,"Old", IF(L821&gt;=31,"Middle Age", IF(L821&lt;31,"Adolescent","Invalid")))</f>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IF(L822&gt;54,"Old", IF(L822&gt;=31,"Middle Age", IF(L822&lt;31,"Adolescent","Invalid")))</f>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IF(L823&gt;54,"Old", IF(L823&gt;=31,"Middle Age", IF(L823&lt;31,"Adolescent","Invalid")))</f>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IF(L824&gt;54,"Old", IF(L824&gt;=31,"Middle Age", IF(L824&lt;31,"Adolescent","Invalid")))</f>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IF(L825&gt;54,"Old", IF(L825&gt;=31,"Middle Age", IF(L825&lt;31,"Adolescent","Invalid")))</f>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IF(L826&gt;54,"Old", IF(L826&gt;=31,"Middle Age", IF(L826&lt;31,"Adolescent","Invalid")))</f>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IF(L827&gt;54,"Old", IF(L827&gt;=31,"Middle Age", IF(L827&lt;31,"Adolescent","Invalid")))</f>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IF(L828&gt;54,"Old", IF(L828&gt;=31,"Middle Age", IF(L828&lt;31,"Adolescent","Invalid")))</f>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IF(L829&gt;54,"Old", IF(L829&gt;=31,"Middle Age", IF(L829&lt;31,"Adolescent","Invalid")))</f>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IF(L830&gt;54,"Old", IF(L830&gt;=31,"Middle Age", IF(L830&lt;31,"Adolescent","Invalid")))</f>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IF(L831&gt;54,"Old", IF(L831&gt;=31,"Middle Age", IF(L831&lt;31,"Adolescent","Invalid")))</f>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IF(L832&gt;54,"Old", IF(L832&gt;=31,"Middle Age", IF(L832&lt;31,"Adolescent","Invalid")))</f>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IF(L833&gt;54,"Old", IF(L833&gt;=31,"Middle Age", IF(L833&lt;31,"Adolescent","Invalid")))</f>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IF(L834&gt;54,"Old", IF(L834&gt;=31,"Middle Age", IF(L834&lt;31,"Adolescent","Invalid")))</f>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IF(L835&gt;54,"Old", IF(L835&gt;=31,"Middle Age", 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IF(L836&gt;54,"Old", IF(L836&gt;=31,"Middle Age", IF(L836&lt;31,"Adolescent","Invalid")))</f>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IF(L837&gt;54,"Old", IF(L837&gt;=31,"Middle Age", IF(L837&lt;31,"Adolescent","Invalid")))</f>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IF(L838&gt;54,"Old", IF(L838&gt;=31,"Middle Age", IF(L838&lt;31,"Adolescent","Invalid")))</f>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IF(L839&gt;54,"Old", IF(L839&gt;=31,"Middle Age", IF(L839&lt;31,"Adolescent","Invalid")))</f>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IF(L840&gt;54,"Old", IF(L840&gt;=31,"Middle Age", IF(L840&lt;31,"Adolescent","Invalid")))</f>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IF(L841&gt;54,"Old", IF(L841&gt;=31,"Middle Age", IF(L841&lt;31,"Adolescent","Invalid")))</f>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IF(L842&gt;54,"Old", IF(L842&gt;=31,"Middle Age", IF(L842&lt;31,"Adolescent","Invalid")))</f>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IF(L843&gt;54,"Old", IF(L843&gt;=31,"Middle Age", IF(L843&lt;31,"Adolescent","Invalid")))</f>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IF(L844&gt;54,"Old", IF(L844&gt;=31,"Middle Age", IF(L844&lt;31,"Adolescent","Invalid")))</f>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IF(L845&gt;54,"Old", IF(L845&gt;=31,"Middle Age", IF(L845&lt;31,"Adolescent","Invalid")))</f>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IF(L846&gt;54,"Old", IF(L846&gt;=31,"Middle Age", IF(L846&lt;31,"Adolescent","Invalid")))</f>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IF(L847&gt;54,"Old", IF(L847&gt;=31,"Middle Age", IF(L847&lt;31,"Adolescent","Invalid")))</f>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IF(L848&gt;54,"Old", IF(L848&gt;=31,"Middle Age", IF(L848&lt;31,"Adolescent","Invalid")))</f>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IF(L849&gt;54,"Old", IF(L849&gt;=31,"Middle Age", IF(L849&lt;31,"Adolescent","Invalid")))</f>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IF(L850&gt;54,"Old", IF(L850&gt;=31,"Middle Age", IF(L850&lt;31,"Adolescent","Invalid")))</f>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IF(L851&gt;54,"Old", IF(L851&gt;=31,"Middle Age", IF(L851&lt;31,"Adolescent","Invalid")))</f>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IF(L852&gt;54,"Old", IF(L852&gt;=31,"Middle Age", IF(L852&lt;31,"Adolescent","Invalid")))</f>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IF(L853&gt;54,"Old", IF(L853&gt;=31,"Middle Age", IF(L853&lt;31,"Adolescent","Invalid")))</f>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IF(L854&gt;54,"Old", IF(L854&gt;=31,"Middle Age", IF(L854&lt;31,"Adolescent","Invalid")))</f>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IF(L855&gt;54,"Old", IF(L855&gt;=31,"Middle Age", IF(L855&lt;31,"Adolescent","Invalid")))</f>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IF(L856&gt;54,"Old", IF(L856&gt;=31,"Middle Age", IF(L856&lt;31,"Adolescent","Invalid")))</f>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IF(L857&gt;54,"Old", IF(L857&gt;=31,"Middle Age", IF(L857&lt;31,"Adolescent","Invalid")))</f>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IF(L858&gt;54,"Old", IF(L858&gt;=31,"Middle Age", IF(L858&lt;31,"Adolescent","Invalid")))</f>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IF(L859&gt;54,"Old", IF(L859&gt;=31,"Middle Age", IF(L859&lt;31,"Adolescent","Invalid")))</f>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IF(L860&gt;54,"Old", IF(L860&gt;=31,"Middle Age", IF(L860&lt;31,"Adolescent","Invalid")))</f>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IF(L861&gt;54,"Old", IF(L861&gt;=31,"Middle Age", IF(L861&lt;31,"Adolescent","Invalid")))</f>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IF(L862&gt;54,"Old", IF(L862&gt;=31,"Middle Age", IF(L862&lt;31,"Adolescent","Invalid")))</f>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IF(L863&gt;54,"Old", IF(L863&gt;=31,"Middle Age", IF(L863&lt;31,"Adolescent","Invalid")))</f>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IF(L864&gt;54,"Old", IF(L864&gt;=31,"Middle Age", IF(L864&lt;31,"Adolescent","Invalid")))</f>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IF(L865&gt;54,"Old", IF(L865&gt;=31,"Middle Age", IF(L865&lt;31,"Adolescent","Invalid")))</f>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IF(L866&gt;54,"Old", IF(L866&gt;=31,"Middle Age", IF(L866&lt;31,"Adolescent","Invalid")))</f>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IF(L867&gt;54,"Old", IF(L867&gt;=31,"Middle Age", IF(L867&lt;31,"Adolescent","Invalid")))</f>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IF(L868&gt;54,"Old", IF(L868&gt;=31,"Middle Age", IF(L868&lt;31,"Adolescent","Invalid")))</f>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IF(L869&gt;54,"Old", IF(L869&gt;=31,"Middle Age", IF(L869&lt;31,"Adolescent","Invalid")))</f>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IF(L870&gt;54,"Old", IF(L870&gt;=31,"Middle Age", IF(L870&lt;31,"Adolescent","Invalid")))</f>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IF(L871&gt;54,"Old", IF(L871&gt;=31,"Middle Age", IF(L871&lt;31,"Adolescent","Invalid")))</f>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IF(L872&gt;54,"Old", IF(L872&gt;=31,"Middle Age", IF(L872&lt;31,"Adolescent","Invalid")))</f>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IF(L873&gt;54,"Old", IF(L873&gt;=31,"Middle Age", IF(L873&lt;31,"Adolescent","Invalid")))</f>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IF(L874&gt;54,"Old", IF(L874&gt;=31,"Middle Age", IF(L874&lt;31,"Adolescent","Invalid")))</f>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IF(L875&gt;54,"Old", IF(L875&gt;=31,"Middle Age", IF(L875&lt;31,"Adolescent","Invalid")))</f>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IF(L876&gt;54,"Old", IF(L876&gt;=31,"Middle Age", IF(L876&lt;31,"Adolescent","Invalid")))</f>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IF(L877&gt;54,"Old", IF(L877&gt;=31,"Middle Age", IF(L877&lt;31,"Adolescent","Invalid")))</f>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IF(L878&gt;54,"Old", IF(L878&gt;=31,"Middle Age", IF(L878&lt;31,"Adolescent","Invalid")))</f>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IF(L879&gt;54,"Old", IF(L879&gt;=31,"Middle Age", IF(L879&lt;31,"Adolescent","Invalid")))</f>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IF(L880&gt;54,"Old", IF(L880&gt;=31,"Middle Age", IF(L880&lt;31,"Adolescent","Invalid")))</f>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IF(L881&gt;54,"Old", IF(L881&gt;=31,"Middle Age", IF(L881&lt;31,"Adolescent","Invalid")))</f>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IF(L882&gt;54,"Old", IF(L882&gt;=31,"Middle Age", IF(L882&lt;31,"Adolescent","Invalid")))</f>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IF(L883&gt;54,"Old", IF(L883&gt;=31,"Middle Age", IF(L883&lt;31,"Adolescent","Invalid")))</f>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IF(L884&gt;54,"Old", IF(L884&gt;=31,"Middle Age", IF(L884&lt;31,"Adolescent","Invalid")))</f>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IF(L885&gt;54,"Old", IF(L885&gt;=31,"Middle Age", IF(L885&lt;31,"Adolescent","Invalid")))</f>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IF(L886&gt;54,"Old", IF(L886&gt;=31,"Middle Age", IF(L886&lt;31,"Adolescent","Invalid")))</f>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IF(L887&gt;54,"Old", IF(L887&gt;=31,"Middle Age", IF(L887&lt;31,"Adolescent","Invalid")))</f>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IF(L888&gt;54,"Old", IF(L888&gt;=31,"Middle Age", IF(L888&lt;31,"Adolescent","Invalid")))</f>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IF(L889&gt;54,"Old", IF(L889&gt;=31,"Middle Age", IF(L889&lt;31,"Adolescent","Invalid")))</f>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IF(L890&gt;54,"Old", IF(L890&gt;=31,"Middle Age", IF(L890&lt;31,"Adolescent","Invalid")))</f>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IF(L891&gt;54,"Old", IF(L891&gt;=31,"Middle Age", IF(L891&lt;31,"Adolescent","Invalid")))</f>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IF(L892&gt;54,"Old", IF(L892&gt;=31,"Middle Age", IF(L892&lt;31,"Adolescent","Invalid")))</f>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IF(L893&gt;54,"Old", IF(L893&gt;=31,"Middle Age", IF(L893&lt;31,"Adolescent","Invalid")))</f>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IF(L894&gt;54,"Old", IF(L894&gt;=31,"Middle Age", IF(L894&lt;31,"Adolescent","Invalid")))</f>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IF(L895&gt;54,"Old", IF(L895&gt;=31,"Middle Age", IF(L895&lt;31,"Adolescent","Invalid")))</f>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IF(L896&gt;54,"Old", IF(L896&gt;=31,"Middle Age", IF(L896&lt;31,"Adolescent","Invalid")))</f>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IF(L897&gt;54,"Old", IF(L897&gt;=31,"Middle Age", IF(L897&lt;31,"Adolescent","Invalid")))</f>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IF(L898&gt;54,"Old", IF(L898&gt;=31,"Middle Age", IF(L898&lt;31,"Adolescent","Invalid")))</f>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IF(L899&gt;54,"Old", IF(L899&gt;=31,"Middle Age", 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IF(L900&gt;54,"Old", IF(L900&gt;=31,"Middle Age", IF(L900&lt;31,"Adolescent","Invalid")))</f>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IF(L901&gt;54,"Old", IF(L901&gt;=31,"Middle Age", IF(L901&lt;31,"Adolescent","Invalid")))</f>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IF(L902&gt;54,"Old", IF(L902&gt;=31,"Middle Age", IF(L902&lt;31,"Adolescent","Invalid")))</f>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IF(L903&gt;54,"Old", IF(L903&gt;=31,"Middle Age", IF(L903&lt;31,"Adolescent","Invalid")))</f>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IF(L904&gt;54,"Old", IF(L904&gt;=31,"Middle Age", IF(L904&lt;31,"Adolescent","Invalid")))</f>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IF(L905&gt;54,"Old", IF(L905&gt;=31,"Middle Age", IF(L905&lt;31,"Adolescent","Invalid")))</f>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IF(L906&gt;54,"Old", IF(L906&gt;=31,"Middle Age", IF(L906&lt;31,"Adolescent","Invalid")))</f>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IF(L907&gt;54,"Old", IF(L907&gt;=31,"Middle Age", IF(L907&lt;31,"Adolescent","Invalid")))</f>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IF(L908&gt;54,"Old", IF(L908&gt;=31,"Middle Age", IF(L908&lt;31,"Adolescent","Invalid")))</f>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IF(L909&gt;54,"Old", IF(L909&gt;=31,"Middle Age", IF(L909&lt;31,"Adolescent","Invalid")))</f>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IF(L910&gt;54,"Old", IF(L910&gt;=31,"Middle Age", IF(L910&lt;31,"Adolescent","Invalid")))</f>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IF(L911&gt;54,"Old", IF(L911&gt;=31,"Middle Age", IF(L911&lt;31,"Adolescent","Invalid")))</f>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IF(L912&gt;54,"Old", IF(L912&gt;=31,"Middle Age", IF(L912&lt;31,"Adolescent","Invalid")))</f>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IF(L913&gt;54,"Old", IF(L913&gt;=31,"Middle Age", IF(L913&lt;31,"Adolescent","Invalid")))</f>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IF(L914&gt;54,"Old", IF(L914&gt;=31,"Middle Age", IF(L914&lt;31,"Adolescent","Invalid")))</f>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IF(L915&gt;54,"Old", IF(L915&gt;=31,"Middle Age", IF(L915&lt;31,"Adolescent","Invalid")))</f>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IF(L916&gt;54,"Old", IF(L916&gt;=31,"Middle Age", IF(L916&lt;31,"Adolescent","Invalid")))</f>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IF(L917&gt;54,"Old", IF(L917&gt;=31,"Middle Age", IF(L917&lt;31,"Adolescent","Invalid")))</f>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IF(L918&gt;54,"Old", IF(L918&gt;=31,"Middle Age", IF(L918&lt;31,"Adolescent","Invalid")))</f>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IF(L919&gt;54,"Old", IF(L919&gt;=31,"Middle Age", IF(L919&lt;31,"Adolescent","Invalid")))</f>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IF(L920&gt;54,"Old", IF(L920&gt;=31,"Middle Age", IF(L920&lt;31,"Adolescent","Invalid")))</f>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IF(L921&gt;54,"Old", IF(L921&gt;=31,"Middle Age", IF(L921&lt;31,"Adolescent","Invalid")))</f>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IF(L922&gt;54,"Old", IF(L922&gt;=31,"Middle Age", IF(L922&lt;31,"Adolescent","Invalid")))</f>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IF(L923&gt;54,"Old", IF(L923&gt;=31,"Middle Age", IF(L923&lt;31,"Adolescent","Invalid")))</f>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IF(L924&gt;54,"Old", IF(L924&gt;=31,"Middle Age", IF(L924&lt;31,"Adolescent","Invalid")))</f>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IF(L925&gt;54,"Old", IF(L925&gt;=31,"Middle Age", IF(L925&lt;31,"Adolescent","Invalid")))</f>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IF(L926&gt;54,"Old", IF(L926&gt;=31,"Middle Age", IF(L926&lt;31,"Adolescent","Invalid")))</f>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IF(L927&gt;54,"Old", IF(L927&gt;=31,"Middle Age", IF(L927&lt;31,"Adolescent","Invalid")))</f>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IF(L928&gt;54,"Old", IF(L928&gt;=31,"Middle Age", IF(L928&lt;31,"Adolescent","Invalid")))</f>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IF(L929&gt;54,"Old", IF(L929&gt;=31,"Middle Age", IF(L929&lt;31,"Adolescent","Invalid")))</f>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IF(L930&gt;54,"Old", IF(L930&gt;=31,"Middle Age", IF(L930&lt;31,"Adolescent","Invalid")))</f>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IF(L931&gt;54,"Old", IF(L931&gt;=31,"Middle Age", IF(L931&lt;31,"Adolescent","Invalid")))</f>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IF(L932&gt;54,"Old", IF(L932&gt;=31,"Middle Age", IF(L932&lt;31,"Adolescent","Invalid")))</f>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IF(L933&gt;54,"Old", IF(L933&gt;=31,"Middle Age", IF(L933&lt;31,"Adolescent","Invalid")))</f>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IF(L934&gt;54,"Old", IF(L934&gt;=31,"Middle Age", IF(L934&lt;31,"Adolescent","Invalid")))</f>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IF(L935&gt;54,"Old", IF(L935&gt;=31,"Middle Age", IF(L935&lt;31,"Adolescent","Invalid")))</f>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IF(L936&gt;54,"Old", IF(L936&gt;=31,"Middle Age", IF(L936&lt;31,"Adolescent","Invalid")))</f>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IF(L937&gt;54,"Old", IF(L937&gt;=31,"Middle Age", IF(L937&lt;31,"Adolescent","Invalid")))</f>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IF(L938&gt;54,"Old", IF(L938&gt;=31,"Middle Age", IF(L938&lt;31,"Adolescent","Invalid")))</f>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IF(L939&gt;54,"Old", IF(L939&gt;=31,"Middle Age", IF(L939&lt;31,"Adolescent","Invalid")))</f>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IF(L940&gt;54,"Old", IF(L940&gt;=31,"Middle Age", IF(L940&lt;31,"Adolescent","Invalid")))</f>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IF(L941&gt;54,"Old", IF(L941&gt;=31,"Middle Age", IF(L941&lt;31,"Adolescent","Invalid")))</f>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IF(L942&gt;54,"Old", IF(L942&gt;=31,"Middle Age", IF(L942&lt;31,"Adolescent","Invalid")))</f>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IF(L943&gt;54,"Old", IF(L943&gt;=31,"Middle Age", IF(L943&lt;31,"Adolescent","Invalid")))</f>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IF(L944&gt;54,"Old", IF(L944&gt;=31,"Middle Age", IF(L944&lt;31,"Adolescent","Invalid")))</f>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IF(L945&gt;54,"Old", IF(L945&gt;=31,"Middle Age", IF(L945&lt;31,"Adolescent","Invalid")))</f>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IF(L946&gt;54,"Old", IF(L946&gt;=31,"Middle Age", IF(L946&lt;31,"Adolescent","Invalid")))</f>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IF(L947&gt;54,"Old", IF(L947&gt;=31,"Middle Age", IF(L947&lt;31,"Adolescent","Invalid")))</f>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IF(L948&gt;54,"Old", IF(L948&gt;=31,"Middle Age", IF(L948&lt;31,"Adolescent","Invalid")))</f>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IF(L949&gt;54,"Old", IF(L949&gt;=31,"Middle Age", IF(L949&lt;31,"Adolescent","Invalid")))</f>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IF(L950&gt;54,"Old", IF(L950&gt;=31,"Middle Age", IF(L950&lt;31,"Adolescent","Invalid")))</f>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IF(L951&gt;54,"Old", IF(L951&gt;=31,"Middle Age", IF(L951&lt;31,"Adolescent","Invalid")))</f>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IF(L952&gt;54,"Old", IF(L952&gt;=31,"Middle Age", IF(L952&lt;31,"Adolescent","Invalid")))</f>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IF(L953&gt;54,"Old", IF(L953&gt;=31,"Middle Age", IF(L953&lt;31,"Adolescent","Invalid")))</f>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IF(L954&gt;54,"Old", IF(L954&gt;=31,"Middle Age", IF(L954&lt;31,"Adolescent","Invalid")))</f>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IF(L955&gt;54,"Old", IF(L955&gt;=31,"Middle Age", IF(L955&lt;31,"Adolescent","Invalid")))</f>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IF(L956&gt;54,"Old", IF(L956&gt;=31,"Middle Age", IF(L956&lt;31,"Adolescent","Invalid")))</f>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IF(L957&gt;54,"Old", IF(L957&gt;=31,"Middle Age", IF(L957&lt;31,"Adolescent","Invalid")))</f>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IF(L958&gt;54,"Old", IF(L958&gt;=31,"Middle Age", IF(L958&lt;31,"Adolescent","Invalid")))</f>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IF(L959&gt;54,"Old", IF(L959&gt;=31,"Middle Age", IF(L959&lt;31,"Adolescent","Invalid")))</f>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IF(L960&gt;54,"Old", IF(L960&gt;=31,"Middle Age", IF(L960&lt;31,"Adolescent","Invalid")))</f>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IF(L961&gt;54,"Old", IF(L961&gt;=31,"Middle Age", IF(L961&lt;31,"Adolescent","Invalid")))</f>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IF(L962&gt;54,"Old", IF(L962&gt;=31,"Middle Age", IF(L962&lt;31,"Adolescent","Invalid")))</f>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IF(L963&gt;54,"Old", IF(L963&gt;=31,"Middle Age", 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IF(L964&gt;54,"Old", IF(L964&gt;=31,"Middle Age", IF(L964&lt;31,"Adolescent","Invalid")))</f>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IF(L965&gt;54,"Old", IF(L965&gt;=31,"Middle Age", IF(L965&lt;31,"Adolescent","Invalid")))</f>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IF(L966&gt;54,"Old", IF(L966&gt;=31,"Middle Age", IF(L966&lt;31,"Adolescent","Invalid")))</f>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IF(L967&gt;54,"Old", IF(L967&gt;=31,"Middle Age", IF(L967&lt;31,"Adolescent","Invalid")))</f>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IF(L968&gt;54,"Old", IF(L968&gt;=31,"Middle Age", IF(L968&lt;31,"Adolescent","Invalid")))</f>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IF(L969&gt;54,"Old", IF(L969&gt;=31,"Middle Age", IF(L969&lt;31,"Adolescent","Invalid")))</f>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IF(L970&gt;54,"Old", IF(L970&gt;=31,"Middle Age", IF(L970&lt;31,"Adolescent","Invalid")))</f>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IF(L971&gt;54,"Old", IF(L971&gt;=31,"Middle Age", IF(L971&lt;31,"Adolescent","Invalid")))</f>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IF(L972&gt;54,"Old", IF(L972&gt;=31,"Middle Age", IF(L972&lt;31,"Adolescent","Invalid")))</f>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IF(L973&gt;54,"Old", IF(L973&gt;=31,"Middle Age", IF(L973&lt;31,"Adolescent","Invalid")))</f>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IF(L974&gt;54,"Old", IF(L974&gt;=31,"Middle Age", IF(L974&lt;31,"Adolescent","Invalid")))</f>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IF(L975&gt;54,"Old", IF(L975&gt;=31,"Middle Age", IF(L975&lt;31,"Adolescent","Invalid")))</f>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IF(L976&gt;54,"Old", IF(L976&gt;=31,"Middle Age", IF(L976&lt;31,"Adolescent","Invalid")))</f>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IF(L977&gt;54,"Old", IF(L977&gt;=31,"Middle Age", IF(L977&lt;31,"Adolescent","Invalid")))</f>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IF(L978&gt;54,"Old", IF(L978&gt;=31,"Middle Age", IF(L978&lt;31,"Adolescent","Invalid")))</f>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IF(L979&gt;54,"Old", IF(L979&gt;=31,"Middle Age", IF(L979&lt;31,"Adolescent","Invalid")))</f>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IF(L980&gt;54,"Old", IF(L980&gt;=31,"Middle Age", IF(L980&lt;31,"Adolescent","Invalid")))</f>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IF(L981&gt;54,"Old", IF(L981&gt;=31,"Middle Age", IF(L981&lt;31,"Adolescent","Invalid")))</f>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IF(L982&gt;54,"Old", IF(L982&gt;=31,"Middle Age", IF(L982&lt;31,"Adolescent","Invalid")))</f>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IF(L983&gt;54,"Old", IF(L983&gt;=31,"Middle Age", IF(L983&lt;31,"Adolescent","Invalid")))</f>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IF(L984&gt;54,"Old", IF(L984&gt;=31,"Middle Age", IF(L984&lt;31,"Adolescent","Invalid")))</f>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IF(L985&gt;54,"Old", IF(L985&gt;=31,"Middle Age", IF(L985&lt;31,"Adolescent","Invalid")))</f>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IF(L986&gt;54,"Old", IF(L986&gt;=31,"Middle Age", IF(L986&lt;31,"Adolescent","Invalid")))</f>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IF(L987&gt;54,"Old", IF(L987&gt;=31,"Middle Age", IF(L987&lt;31,"Adolescent","Invalid")))</f>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IF(L988&gt;54,"Old", IF(L988&gt;=31,"Middle Age", IF(L988&lt;31,"Adolescent","Invalid")))</f>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IF(L989&gt;54,"Old", IF(L989&gt;=31,"Middle Age", IF(L989&lt;31,"Adolescent","Invalid")))</f>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IF(L990&gt;54,"Old", IF(L990&gt;=31,"Middle Age", IF(L990&lt;31,"Adolescent","Invalid")))</f>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IF(L991&gt;54,"Old", IF(L991&gt;=31,"Middle Age", IF(L991&lt;31,"Adolescent","Invalid")))</f>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IF(L992&gt;54,"Old", IF(L992&gt;=31,"Middle Age", IF(L992&lt;31,"Adolescent","Invalid")))</f>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IF(L993&gt;54,"Old", IF(L993&gt;=31,"Middle Age", IF(L993&lt;31,"Adolescent","Invalid")))</f>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IF(L994&gt;54,"Old", IF(L994&gt;=31,"Middle Age", IF(L994&lt;31,"Adolescent","Invalid")))</f>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IF(L995&gt;54,"Old", IF(L995&gt;=31,"Middle Age", IF(L995&lt;31,"Adolescent","Invalid")))</f>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IF(L996&gt;54,"Old", IF(L996&gt;=31,"Middle Age", IF(L996&lt;31,"Adolescent","Invalid")))</f>
        <v>Middle Age</v>
      </c>
      <c r="N996" t="s">
        <v>18</v>
      </c>
    </row>
    <row r="997" spans="1:14" x14ac:dyDescent="0.35">
      <c r="A997">
        <v>23731</v>
      </c>
      <c r="B997" t="s">
        <v>36</v>
      </c>
      <c r="C997" t="s">
        <v>39</v>
      </c>
      <c r="D997" s="3">
        <v>60000</v>
      </c>
      <c r="E997">
        <v>2</v>
      </c>
      <c r="F997" t="s">
        <v>27</v>
      </c>
      <c r="G997" t="s">
        <v>21</v>
      </c>
      <c r="H997" t="s">
        <v>15</v>
      </c>
      <c r="I997">
        <v>2</v>
      </c>
      <c r="J997" t="s">
        <v>22</v>
      </c>
      <c r="K997" t="s">
        <v>32</v>
      </c>
      <c r="L997">
        <v>54</v>
      </c>
      <c r="M997" t="str">
        <f>IF(L997&gt;54,"Old", IF(L997&gt;=31,"Middle Age", IF(L997&lt;31,"Adolescent","Invalid")))</f>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IF(L998&gt;54,"Old", IF(L998&gt;=31,"Middle Age", IF(L998&lt;31,"Adolescent","Invalid")))</f>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IF(L999&gt;54,"Old", IF(L999&gt;=31,"Middle Age", IF(L999&lt;31,"Adolescent","Invalid")))</f>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IF(L1000&gt;54,"Old", IF(L1000&gt;=31,"Middle Age", IF(L1000&lt;31,"Adolescent","Invalid")))</f>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IF(L1001&gt;54,"Old", IF(L1001&gt;=31,"Middle Age", IF(L1001&lt;31,"Adolescent","Invalid")))</f>
        <v>Middle Age</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autoFilter ref="A1:N1001" xr:uid="{EC44E036-485F-4C4E-A92A-781776888E0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A507-1978-429B-969C-7EEC46813E9F}">
  <dimension ref="A3:E100"/>
  <sheetViews>
    <sheetView topLeftCell="A25" workbookViewId="0">
      <selection activeCell="D10" sqref="D10"/>
    </sheetView>
  </sheetViews>
  <sheetFormatPr defaultRowHeight="14.5" x14ac:dyDescent="0.35"/>
  <cols>
    <col min="1" max="1" width="16.453125" bestFit="1" customWidth="1"/>
    <col min="2" max="2" width="15.26953125" bestFit="1" customWidth="1"/>
    <col min="3" max="3" width="9.36328125" bestFit="1" customWidth="1"/>
    <col min="4" max="5" width="10.7265625" bestFit="1" customWidth="1"/>
  </cols>
  <sheetData>
    <row r="3" spans="1:5" x14ac:dyDescent="0.35">
      <c r="A3" s="4" t="s">
        <v>43</v>
      </c>
      <c r="B3" s="4" t="s">
        <v>44</v>
      </c>
    </row>
    <row r="4" spans="1:5" x14ac:dyDescent="0.35">
      <c r="A4" s="4" t="s">
        <v>41</v>
      </c>
      <c r="B4" t="s">
        <v>18</v>
      </c>
      <c r="C4" t="s">
        <v>15</v>
      </c>
      <c r="D4" t="s">
        <v>42</v>
      </c>
    </row>
    <row r="5" spans="1:5" x14ac:dyDescent="0.35">
      <c r="A5" s="5" t="s">
        <v>38</v>
      </c>
      <c r="B5" s="3">
        <v>53440</v>
      </c>
      <c r="C5" s="3">
        <v>55774.058577405856</v>
      </c>
      <c r="D5" s="3">
        <v>54580.777096114522</v>
      </c>
    </row>
    <row r="6" spans="1:5" x14ac:dyDescent="0.35">
      <c r="A6" s="5" t="s">
        <v>39</v>
      </c>
      <c r="B6" s="3">
        <v>56208.178438661707</v>
      </c>
      <c r="C6" s="3">
        <v>60123.966942148763</v>
      </c>
      <c r="D6" s="3">
        <v>58062.62230919765</v>
      </c>
    </row>
    <row r="7" spans="1:5" x14ac:dyDescent="0.35">
      <c r="A7" s="5" t="s">
        <v>42</v>
      </c>
      <c r="B7" s="3">
        <v>54874.759152215796</v>
      </c>
      <c r="C7" s="3">
        <v>57962.577962577961</v>
      </c>
      <c r="D7" s="3">
        <v>56360</v>
      </c>
    </row>
    <row r="15" spans="1:5" x14ac:dyDescent="0.35">
      <c r="A15" s="4" t="s">
        <v>45</v>
      </c>
      <c r="B15" s="4" t="s">
        <v>44</v>
      </c>
    </row>
    <row r="16" spans="1:5" x14ac:dyDescent="0.35">
      <c r="A16" s="4" t="s">
        <v>41</v>
      </c>
      <c r="B16" t="s">
        <v>18</v>
      </c>
      <c r="C16" t="s">
        <v>15</v>
      </c>
      <c r="D16" t="s">
        <v>51</v>
      </c>
      <c r="E16" t="s">
        <v>42</v>
      </c>
    </row>
    <row r="17" spans="1:5" x14ac:dyDescent="0.35">
      <c r="A17" s="5" t="s">
        <v>16</v>
      </c>
      <c r="B17" s="6">
        <v>166</v>
      </c>
      <c r="C17" s="6">
        <v>200</v>
      </c>
      <c r="D17" s="6"/>
      <c r="E17" s="6">
        <v>366</v>
      </c>
    </row>
    <row r="18" spans="1:5" x14ac:dyDescent="0.35">
      <c r="A18" s="5" t="s">
        <v>26</v>
      </c>
      <c r="B18" s="6">
        <v>92</v>
      </c>
      <c r="C18" s="6">
        <v>77</v>
      </c>
      <c r="D18" s="6"/>
      <c r="E18" s="6">
        <v>169</v>
      </c>
    </row>
    <row r="19" spans="1:5" x14ac:dyDescent="0.35">
      <c r="A19" s="5" t="s">
        <v>22</v>
      </c>
      <c r="B19" s="6">
        <v>67</v>
      </c>
      <c r="C19" s="6">
        <v>95</v>
      </c>
      <c r="D19" s="6"/>
      <c r="E19" s="6">
        <v>162</v>
      </c>
    </row>
    <row r="20" spans="1:5" x14ac:dyDescent="0.35">
      <c r="A20" s="5" t="s">
        <v>23</v>
      </c>
      <c r="B20" s="6">
        <v>116</v>
      </c>
      <c r="C20" s="6">
        <v>76</v>
      </c>
      <c r="D20" s="6"/>
      <c r="E20" s="6">
        <v>192</v>
      </c>
    </row>
    <row r="21" spans="1:5" x14ac:dyDescent="0.35">
      <c r="A21" s="5" t="s">
        <v>46</v>
      </c>
      <c r="B21" s="6">
        <v>78</v>
      </c>
      <c r="C21" s="6">
        <v>33</v>
      </c>
      <c r="D21" s="6"/>
      <c r="E21" s="6">
        <v>111</v>
      </c>
    </row>
    <row r="22" spans="1:5" x14ac:dyDescent="0.35">
      <c r="A22" s="5" t="s">
        <v>51</v>
      </c>
      <c r="B22" s="6"/>
      <c r="C22" s="6"/>
      <c r="D22" s="6"/>
      <c r="E22" s="6"/>
    </row>
    <row r="23" spans="1:5" x14ac:dyDescent="0.35">
      <c r="A23" s="5" t="s">
        <v>42</v>
      </c>
      <c r="B23" s="6">
        <v>519</v>
      </c>
      <c r="C23" s="6">
        <v>481</v>
      </c>
      <c r="D23" s="6"/>
      <c r="E23" s="6">
        <v>1000</v>
      </c>
    </row>
    <row r="29" spans="1:5" x14ac:dyDescent="0.35">
      <c r="A29" s="4" t="s">
        <v>45</v>
      </c>
      <c r="B29" s="4" t="s">
        <v>44</v>
      </c>
    </row>
    <row r="30" spans="1:5" x14ac:dyDescent="0.35">
      <c r="A30" s="4" t="s">
        <v>41</v>
      </c>
      <c r="B30" t="s">
        <v>18</v>
      </c>
      <c r="C30" t="s">
        <v>15</v>
      </c>
      <c r="D30" t="s">
        <v>51</v>
      </c>
      <c r="E30" t="s">
        <v>42</v>
      </c>
    </row>
    <row r="31" spans="1:5" x14ac:dyDescent="0.35">
      <c r="A31" s="5" t="s">
        <v>47</v>
      </c>
      <c r="B31" s="6">
        <v>71</v>
      </c>
      <c r="C31" s="6">
        <v>39</v>
      </c>
      <c r="D31" s="6"/>
      <c r="E31" s="6">
        <v>110</v>
      </c>
    </row>
    <row r="32" spans="1:5" x14ac:dyDescent="0.35">
      <c r="A32" s="5" t="s">
        <v>48</v>
      </c>
      <c r="B32" s="6">
        <v>318</v>
      </c>
      <c r="C32" s="6">
        <v>383</v>
      </c>
      <c r="D32" s="6"/>
      <c r="E32" s="6">
        <v>701</v>
      </c>
    </row>
    <row r="33" spans="1:5" x14ac:dyDescent="0.35">
      <c r="A33" s="5" t="s">
        <v>49</v>
      </c>
      <c r="B33" s="6">
        <v>130</v>
      </c>
      <c r="C33" s="6">
        <v>59</v>
      </c>
      <c r="D33" s="6"/>
      <c r="E33" s="6">
        <v>189</v>
      </c>
    </row>
    <row r="34" spans="1:5" x14ac:dyDescent="0.35">
      <c r="A34" s="5" t="s">
        <v>51</v>
      </c>
      <c r="B34" s="6"/>
      <c r="C34" s="6"/>
      <c r="D34" s="6"/>
      <c r="E34" s="6"/>
    </row>
    <row r="35" spans="1:5" x14ac:dyDescent="0.35">
      <c r="A35" s="5" t="s">
        <v>42</v>
      </c>
      <c r="B35" s="6">
        <v>519</v>
      </c>
      <c r="C35" s="6">
        <v>481</v>
      </c>
      <c r="D35" s="6"/>
      <c r="E35" s="6">
        <v>1000</v>
      </c>
    </row>
    <row r="44" spans="1:5" x14ac:dyDescent="0.35">
      <c r="A44" s="4" t="s">
        <v>45</v>
      </c>
      <c r="B44" s="4" t="s">
        <v>44</v>
      </c>
    </row>
    <row r="45" spans="1:5" x14ac:dyDescent="0.35">
      <c r="A45" s="4" t="s">
        <v>41</v>
      </c>
      <c r="B45" t="s">
        <v>18</v>
      </c>
      <c r="C45" t="s">
        <v>15</v>
      </c>
      <c r="D45" t="s">
        <v>51</v>
      </c>
      <c r="E45" t="s">
        <v>42</v>
      </c>
    </row>
    <row r="46" spans="1:5" x14ac:dyDescent="0.35">
      <c r="A46" s="5">
        <v>25</v>
      </c>
      <c r="B46" s="6">
        <v>2</v>
      </c>
      <c r="C46" s="6">
        <v>4</v>
      </c>
      <c r="D46" s="6"/>
      <c r="E46" s="6">
        <v>6</v>
      </c>
    </row>
    <row r="47" spans="1:5" x14ac:dyDescent="0.35">
      <c r="A47" s="5">
        <v>26</v>
      </c>
      <c r="B47" s="6">
        <v>8</v>
      </c>
      <c r="C47" s="6">
        <v>8</v>
      </c>
      <c r="D47" s="6"/>
      <c r="E47" s="6">
        <v>16</v>
      </c>
    </row>
    <row r="48" spans="1:5" x14ac:dyDescent="0.35">
      <c r="A48" s="5">
        <v>27</v>
      </c>
      <c r="B48" s="6">
        <v>15</v>
      </c>
      <c r="C48" s="6">
        <v>8</v>
      </c>
      <c r="D48" s="6"/>
      <c r="E48" s="6">
        <v>23</v>
      </c>
    </row>
    <row r="49" spans="1:5" x14ac:dyDescent="0.35">
      <c r="A49" s="5">
        <v>28</v>
      </c>
      <c r="B49" s="6">
        <v>12</v>
      </c>
      <c r="C49" s="6">
        <v>10</v>
      </c>
      <c r="D49" s="6"/>
      <c r="E49" s="6">
        <v>22</v>
      </c>
    </row>
    <row r="50" spans="1:5" x14ac:dyDescent="0.35">
      <c r="A50" s="5">
        <v>29</v>
      </c>
      <c r="B50" s="6">
        <v>11</v>
      </c>
      <c r="C50" s="6">
        <v>5</v>
      </c>
      <c r="D50" s="6"/>
      <c r="E50" s="6">
        <v>16</v>
      </c>
    </row>
    <row r="51" spans="1:5" x14ac:dyDescent="0.35">
      <c r="A51" s="5">
        <v>30</v>
      </c>
      <c r="B51" s="6">
        <v>23</v>
      </c>
      <c r="C51" s="6">
        <v>4</v>
      </c>
      <c r="D51" s="6"/>
      <c r="E51" s="6">
        <v>27</v>
      </c>
    </row>
    <row r="52" spans="1:5" x14ac:dyDescent="0.35">
      <c r="A52" s="5">
        <v>31</v>
      </c>
      <c r="B52" s="6">
        <v>17</v>
      </c>
      <c r="C52" s="6">
        <v>8</v>
      </c>
      <c r="D52" s="6"/>
      <c r="E52" s="6">
        <v>25</v>
      </c>
    </row>
    <row r="53" spans="1:5" x14ac:dyDescent="0.35">
      <c r="A53" s="5">
        <v>32</v>
      </c>
      <c r="B53" s="6">
        <v>19</v>
      </c>
      <c r="C53" s="6">
        <v>14</v>
      </c>
      <c r="D53" s="6"/>
      <c r="E53" s="6">
        <v>33</v>
      </c>
    </row>
    <row r="54" spans="1:5" x14ac:dyDescent="0.35">
      <c r="A54" s="5">
        <v>33</v>
      </c>
      <c r="B54" s="6">
        <v>8</v>
      </c>
      <c r="C54" s="6">
        <v>13</v>
      </c>
      <c r="D54" s="6"/>
      <c r="E54" s="6">
        <v>21</v>
      </c>
    </row>
    <row r="55" spans="1:5" x14ac:dyDescent="0.35">
      <c r="A55" s="5">
        <v>34</v>
      </c>
      <c r="B55" s="6">
        <v>12</v>
      </c>
      <c r="C55" s="6">
        <v>19</v>
      </c>
      <c r="D55" s="6"/>
      <c r="E55" s="6">
        <v>31</v>
      </c>
    </row>
    <row r="56" spans="1:5" x14ac:dyDescent="0.35">
      <c r="A56" s="5">
        <v>35</v>
      </c>
      <c r="B56" s="6">
        <v>14</v>
      </c>
      <c r="C56" s="6">
        <v>22</v>
      </c>
      <c r="D56" s="6"/>
      <c r="E56" s="6">
        <v>36</v>
      </c>
    </row>
    <row r="57" spans="1:5" x14ac:dyDescent="0.35">
      <c r="A57" s="5">
        <v>36</v>
      </c>
      <c r="B57" s="6">
        <v>7</v>
      </c>
      <c r="C57" s="6">
        <v>30</v>
      </c>
      <c r="D57" s="6"/>
      <c r="E57" s="6">
        <v>37</v>
      </c>
    </row>
    <row r="58" spans="1:5" x14ac:dyDescent="0.35">
      <c r="A58" s="5">
        <v>37</v>
      </c>
      <c r="B58" s="6">
        <v>4</v>
      </c>
      <c r="C58" s="6">
        <v>28</v>
      </c>
      <c r="D58" s="6"/>
      <c r="E58" s="6">
        <v>32</v>
      </c>
    </row>
    <row r="59" spans="1:5" x14ac:dyDescent="0.35">
      <c r="A59" s="5">
        <v>38</v>
      </c>
      <c r="B59" s="6">
        <v>8</v>
      </c>
      <c r="C59" s="6">
        <v>29</v>
      </c>
      <c r="D59" s="6"/>
      <c r="E59" s="6">
        <v>37</v>
      </c>
    </row>
    <row r="60" spans="1:5" x14ac:dyDescent="0.35">
      <c r="A60" s="5">
        <v>39</v>
      </c>
      <c r="B60" s="6">
        <v>10</v>
      </c>
      <c r="C60" s="6">
        <v>12</v>
      </c>
      <c r="D60" s="6"/>
      <c r="E60" s="6">
        <v>22</v>
      </c>
    </row>
    <row r="61" spans="1:5" x14ac:dyDescent="0.35">
      <c r="A61" s="5">
        <v>40</v>
      </c>
      <c r="B61" s="6">
        <v>24</v>
      </c>
      <c r="C61" s="6">
        <v>18</v>
      </c>
      <c r="D61" s="6"/>
      <c r="E61" s="6">
        <v>42</v>
      </c>
    </row>
    <row r="62" spans="1:5" x14ac:dyDescent="0.35">
      <c r="A62" s="5">
        <v>41</v>
      </c>
      <c r="B62" s="6">
        <v>13</v>
      </c>
      <c r="C62" s="6">
        <v>15</v>
      </c>
      <c r="D62" s="6"/>
      <c r="E62" s="6">
        <v>28</v>
      </c>
    </row>
    <row r="63" spans="1:5" x14ac:dyDescent="0.35">
      <c r="A63" s="5">
        <v>42</v>
      </c>
      <c r="B63" s="6">
        <v>22</v>
      </c>
      <c r="C63" s="6">
        <v>12</v>
      </c>
      <c r="D63" s="6"/>
      <c r="E63" s="6">
        <v>34</v>
      </c>
    </row>
    <row r="64" spans="1:5" x14ac:dyDescent="0.35">
      <c r="A64" s="5">
        <v>43</v>
      </c>
      <c r="B64" s="6">
        <v>17</v>
      </c>
      <c r="C64" s="6">
        <v>19</v>
      </c>
      <c r="D64" s="6"/>
      <c r="E64" s="6">
        <v>36</v>
      </c>
    </row>
    <row r="65" spans="1:5" x14ac:dyDescent="0.35">
      <c r="A65" s="5">
        <v>44</v>
      </c>
      <c r="B65" s="6">
        <v>15</v>
      </c>
      <c r="C65" s="6">
        <v>12</v>
      </c>
      <c r="D65" s="6"/>
      <c r="E65" s="6">
        <v>27</v>
      </c>
    </row>
    <row r="66" spans="1:5" x14ac:dyDescent="0.35">
      <c r="A66" s="5">
        <v>45</v>
      </c>
      <c r="B66" s="6">
        <v>18</v>
      </c>
      <c r="C66" s="6">
        <v>13</v>
      </c>
      <c r="D66" s="6"/>
      <c r="E66" s="6">
        <v>31</v>
      </c>
    </row>
    <row r="67" spans="1:5" x14ac:dyDescent="0.35">
      <c r="A67" s="5">
        <v>46</v>
      </c>
      <c r="B67" s="6">
        <v>12</v>
      </c>
      <c r="C67" s="6">
        <v>15</v>
      </c>
      <c r="D67" s="6"/>
      <c r="E67" s="6">
        <v>27</v>
      </c>
    </row>
    <row r="68" spans="1:5" x14ac:dyDescent="0.35">
      <c r="A68" s="5">
        <v>47</v>
      </c>
      <c r="B68" s="6">
        <v>19</v>
      </c>
      <c r="C68" s="6">
        <v>20</v>
      </c>
      <c r="D68" s="6"/>
      <c r="E68" s="6">
        <v>39</v>
      </c>
    </row>
    <row r="69" spans="1:5" x14ac:dyDescent="0.35">
      <c r="A69" s="5">
        <v>48</v>
      </c>
      <c r="B69" s="6">
        <v>16</v>
      </c>
      <c r="C69" s="6">
        <v>13</v>
      </c>
      <c r="D69" s="6"/>
      <c r="E69" s="6">
        <v>29</v>
      </c>
    </row>
    <row r="70" spans="1:5" x14ac:dyDescent="0.35">
      <c r="A70" s="5">
        <v>49</v>
      </c>
      <c r="B70" s="6">
        <v>15</v>
      </c>
      <c r="C70" s="6">
        <v>8</v>
      </c>
      <c r="D70" s="6"/>
      <c r="E70" s="6">
        <v>23</v>
      </c>
    </row>
    <row r="71" spans="1:5" x14ac:dyDescent="0.35">
      <c r="A71" s="5">
        <v>50</v>
      </c>
      <c r="B71" s="6">
        <v>12</v>
      </c>
      <c r="C71" s="6">
        <v>12</v>
      </c>
      <c r="D71" s="6"/>
      <c r="E71" s="6">
        <v>24</v>
      </c>
    </row>
    <row r="72" spans="1:5" x14ac:dyDescent="0.35">
      <c r="A72" s="5">
        <v>51</v>
      </c>
      <c r="B72" s="6">
        <v>10</v>
      </c>
      <c r="C72" s="6">
        <v>12</v>
      </c>
      <c r="D72" s="6"/>
      <c r="E72" s="6">
        <v>22</v>
      </c>
    </row>
    <row r="73" spans="1:5" x14ac:dyDescent="0.35">
      <c r="A73" s="5">
        <v>52</v>
      </c>
      <c r="B73" s="6">
        <v>10</v>
      </c>
      <c r="C73" s="6">
        <v>15</v>
      </c>
      <c r="D73" s="6"/>
      <c r="E73" s="6">
        <v>25</v>
      </c>
    </row>
    <row r="74" spans="1:5" x14ac:dyDescent="0.35">
      <c r="A74" s="5">
        <v>53</v>
      </c>
      <c r="B74" s="6">
        <v>11</v>
      </c>
      <c r="C74" s="6">
        <v>13</v>
      </c>
      <c r="D74" s="6"/>
      <c r="E74" s="6">
        <v>24</v>
      </c>
    </row>
    <row r="75" spans="1:5" x14ac:dyDescent="0.35">
      <c r="A75" s="5">
        <v>54</v>
      </c>
      <c r="B75" s="6">
        <v>5</v>
      </c>
      <c r="C75" s="6">
        <v>11</v>
      </c>
      <c r="D75" s="6"/>
      <c r="E75" s="6">
        <v>16</v>
      </c>
    </row>
    <row r="76" spans="1:5" x14ac:dyDescent="0.35">
      <c r="A76" s="5">
        <v>55</v>
      </c>
      <c r="B76" s="6">
        <v>13</v>
      </c>
      <c r="C76" s="6">
        <v>5</v>
      </c>
      <c r="D76" s="6"/>
      <c r="E76" s="6">
        <v>18</v>
      </c>
    </row>
    <row r="77" spans="1:5" x14ac:dyDescent="0.35">
      <c r="A77" s="5">
        <v>56</v>
      </c>
      <c r="B77" s="6">
        <v>13</v>
      </c>
      <c r="C77" s="6">
        <v>3</v>
      </c>
      <c r="D77" s="6"/>
      <c r="E77" s="6">
        <v>16</v>
      </c>
    </row>
    <row r="78" spans="1:5" x14ac:dyDescent="0.35">
      <c r="A78" s="5">
        <v>57</v>
      </c>
      <c r="B78" s="6">
        <v>4</v>
      </c>
      <c r="C78" s="6">
        <v>4</v>
      </c>
      <c r="D78" s="6"/>
      <c r="E78" s="6">
        <v>8</v>
      </c>
    </row>
    <row r="79" spans="1:5" x14ac:dyDescent="0.35">
      <c r="A79" s="5">
        <v>58</v>
      </c>
      <c r="B79" s="6">
        <v>8</v>
      </c>
      <c r="C79" s="6">
        <v>4</v>
      </c>
      <c r="D79" s="6"/>
      <c r="E79" s="6">
        <v>12</v>
      </c>
    </row>
    <row r="80" spans="1:5" x14ac:dyDescent="0.35">
      <c r="A80" s="5">
        <v>59</v>
      </c>
      <c r="B80" s="6">
        <v>14</v>
      </c>
      <c r="C80" s="6">
        <v>6</v>
      </c>
      <c r="D80" s="6"/>
      <c r="E80" s="6">
        <v>20</v>
      </c>
    </row>
    <row r="81" spans="1:5" x14ac:dyDescent="0.35">
      <c r="A81" s="5">
        <v>60</v>
      </c>
      <c r="B81" s="6">
        <v>8</v>
      </c>
      <c r="C81" s="6">
        <v>7</v>
      </c>
      <c r="D81" s="6"/>
      <c r="E81" s="6">
        <v>15</v>
      </c>
    </row>
    <row r="82" spans="1:5" x14ac:dyDescent="0.35">
      <c r="A82" s="5">
        <v>61</v>
      </c>
      <c r="B82" s="6">
        <v>5</v>
      </c>
      <c r="C82" s="6">
        <v>4</v>
      </c>
      <c r="D82" s="6"/>
      <c r="E82" s="6">
        <v>9</v>
      </c>
    </row>
    <row r="83" spans="1:5" x14ac:dyDescent="0.35">
      <c r="A83" s="5">
        <v>62</v>
      </c>
      <c r="B83" s="6">
        <v>9</v>
      </c>
      <c r="C83" s="6">
        <v>4</v>
      </c>
      <c r="D83" s="6"/>
      <c r="E83" s="6">
        <v>13</v>
      </c>
    </row>
    <row r="84" spans="1:5" x14ac:dyDescent="0.35">
      <c r="A84" s="5">
        <v>63</v>
      </c>
      <c r="B84" s="6">
        <v>7</v>
      </c>
      <c r="C84" s="6">
        <v>2</v>
      </c>
      <c r="D84" s="6"/>
      <c r="E84" s="6">
        <v>9</v>
      </c>
    </row>
    <row r="85" spans="1:5" x14ac:dyDescent="0.35">
      <c r="A85" s="5">
        <v>64</v>
      </c>
      <c r="B85" s="6">
        <v>7</v>
      </c>
      <c r="C85" s="6">
        <v>3</v>
      </c>
      <c r="D85" s="6"/>
      <c r="E85" s="6">
        <v>10</v>
      </c>
    </row>
    <row r="86" spans="1:5" x14ac:dyDescent="0.35">
      <c r="A86" s="5">
        <v>65</v>
      </c>
      <c r="B86" s="6">
        <v>6</v>
      </c>
      <c r="C86" s="6">
        <v>3</v>
      </c>
      <c r="D86" s="6"/>
      <c r="E86" s="6">
        <v>9</v>
      </c>
    </row>
    <row r="87" spans="1:5" x14ac:dyDescent="0.35">
      <c r="A87" s="5">
        <v>66</v>
      </c>
      <c r="B87" s="6">
        <v>8</v>
      </c>
      <c r="C87" s="6">
        <v>6</v>
      </c>
      <c r="D87" s="6"/>
      <c r="E87" s="6">
        <v>14</v>
      </c>
    </row>
    <row r="88" spans="1:5" x14ac:dyDescent="0.35">
      <c r="A88" s="5">
        <v>67</v>
      </c>
      <c r="B88" s="6">
        <v>8</v>
      </c>
      <c r="C88" s="6">
        <v>2</v>
      </c>
      <c r="D88" s="6"/>
      <c r="E88" s="6">
        <v>10</v>
      </c>
    </row>
    <row r="89" spans="1:5" x14ac:dyDescent="0.35">
      <c r="A89" s="5">
        <v>68</v>
      </c>
      <c r="B89" s="6">
        <v>3</v>
      </c>
      <c r="C89" s="6"/>
      <c r="D89" s="6"/>
      <c r="E89" s="6">
        <v>3</v>
      </c>
    </row>
    <row r="90" spans="1:5" x14ac:dyDescent="0.35">
      <c r="A90" s="5">
        <v>69</v>
      </c>
      <c r="B90" s="6">
        <v>8</v>
      </c>
      <c r="C90" s="6"/>
      <c r="D90" s="6"/>
      <c r="E90" s="6">
        <v>8</v>
      </c>
    </row>
    <row r="91" spans="1:5" x14ac:dyDescent="0.35">
      <c r="A91" s="5">
        <v>70</v>
      </c>
      <c r="B91" s="6">
        <v>3</v>
      </c>
      <c r="C91" s="6">
        <v>1</v>
      </c>
      <c r="D91" s="6"/>
      <c r="E91" s="6">
        <v>4</v>
      </c>
    </row>
    <row r="92" spans="1:5" x14ac:dyDescent="0.35">
      <c r="A92" s="5">
        <v>71</v>
      </c>
      <c r="B92" s="6">
        <v>1</v>
      </c>
      <c r="C92" s="6"/>
      <c r="D92" s="6"/>
      <c r="E92" s="6">
        <v>1</v>
      </c>
    </row>
    <row r="93" spans="1:5" x14ac:dyDescent="0.35">
      <c r="A93" s="5">
        <v>72</v>
      </c>
      <c r="B93" s="6"/>
      <c r="C93" s="6">
        <v>1</v>
      </c>
      <c r="D93" s="6"/>
      <c r="E93" s="6">
        <v>1</v>
      </c>
    </row>
    <row r="94" spans="1:5" x14ac:dyDescent="0.35">
      <c r="A94" s="5">
        <v>73</v>
      </c>
      <c r="B94" s="6">
        <v>2</v>
      </c>
      <c r="C94" s="6">
        <v>2</v>
      </c>
      <c r="D94" s="6"/>
      <c r="E94" s="6">
        <v>4</v>
      </c>
    </row>
    <row r="95" spans="1:5" x14ac:dyDescent="0.35">
      <c r="A95" s="5">
        <v>74</v>
      </c>
      <c r="B95" s="6"/>
      <c r="C95" s="6">
        <v>1</v>
      </c>
      <c r="D95" s="6"/>
      <c r="E95" s="6">
        <v>1</v>
      </c>
    </row>
    <row r="96" spans="1:5" x14ac:dyDescent="0.35">
      <c r="A96" s="5">
        <v>78</v>
      </c>
      <c r="B96" s="6">
        <v>1</v>
      </c>
      <c r="C96" s="6">
        <v>1</v>
      </c>
      <c r="D96" s="6"/>
      <c r="E96" s="6">
        <v>2</v>
      </c>
    </row>
    <row r="97" spans="1:5" x14ac:dyDescent="0.35">
      <c r="A97" s="5">
        <v>80</v>
      </c>
      <c r="B97" s="6">
        <v>1</v>
      </c>
      <c r="C97" s="6"/>
      <c r="D97" s="6"/>
      <c r="E97" s="6">
        <v>1</v>
      </c>
    </row>
    <row r="98" spans="1:5" x14ac:dyDescent="0.35">
      <c r="A98" s="5">
        <v>89</v>
      </c>
      <c r="B98" s="6">
        <v>1</v>
      </c>
      <c r="C98" s="6"/>
      <c r="D98" s="6"/>
      <c r="E98" s="6">
        <v>1</v>
      </c>
    </row>
    <row r="99" spans="1:5" x14ac:dyDescent="0.35">
      <c r="A99" s="5" t="s">
        <v>51</v>
      </c>
      <c r="B99" s="6"/>
      <c r="C99" s="6"/>
      <c r="D99" s="6"/>
      <c r="E99" s="6"/>
    </row>
    <row r="100" spans="1:5" x14ac:dyDescent="0.35">
      <c r="A100" s="5" t="s">
        <v>42</v>
      </c>
      <c r="B100" s="6">
        <v>519</v>
      </c>
      <c r="C100" s="6">
        <v>481</v>
      </c>
      <c r="D100" s="6"/>
      <c r="E100" s="6">
        <v>1000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A16E6-810B-4F30-930B-8EC597B49103}">
  <dimension ref="A1:Q10"/>
  <sheetViews>
    <sheetView showGridLines="0" tabSelected="1" zoomScale="90" zoomScaleNormal="90" workbookViewId="0">
      <selection activeCell="R29" sqref="R29"/>
    </sheetView>
  </sheetViews>
  <sheetFormatPr defaultRowHeight="14.5" x14ac:dyDescent="0.35"/>
  <sheetData>
    <row r="1" spans="1:17" x14ac:dyDescent="0.35">
      <c r="A1" s="7" t="s">
        <v>50</v>
      </c>
      <c r="B1" s="8"/>
      <c r="C1" s="8"/>
      <c r="D1" s="8"/>
      <c r="E1" s="8"/>
      <c r="F1" s="8"/>
      <c r="G1" s="8"/>
      <c r="H1" s="8"/>
      <c r="I1" s="8"/>
      <c r="J1" s="8"/>
      <c r="K1" s="8"/>
      <c r="L1" s="8"/>
      <c r="M1" s="8"/>
      <c r="N1" s="8"/>
      <c r="O1" s="8"/>
    </row>
    <row r="2" spans="1:17" x14ac:dyDescent="0.35">
      <c r="A2" s="8"/>
      <c r="B2" s="8"/>
      <c r="C2" s="8"/>
      <c r="D2" s="8"/>
      <c r="E2" s="8"/>
      <c r="F2" s="8"/>
      <c r="G2" s="8"/>
      <c r="H2" s="8"/>
      <c r="I2" s="8"/>
      <c r="J2" s="8"/>
      <c r="K2" s="8"/>
      <c r="L2" s="8"/>
      <c r="M2" s="8"/>
      <c r="N2" s="8"/>
      <c r="O2" s="8"/>
    </row>
    <row r="3" spans="1:17" x14ac:dyDescent="0.35">
      <c r="A3" s="8"/>
      <c r="B3" s="8"/>
      <c r="C3" s="8"/>
      <c r="D3" s="8"/>
      <c r="E3" s="8"/>
      <c r="F3" s="8"/>
      <c r="G3" s="8"/>
      <c r="H3" s="8"/>
      <c r="I3" s="8"/>
      <c r="J3" s="8"/>
      <c r="K3" s="8"/>
      <c r="L3" s="8"/>
      <c r="M3" s="8"/>
      <c r="N3" s="8"/>
      <c r="O3" s="8"/>
    </row>
    <row r="4" spans="1:17" x14ac:dyDescent="0.35">
      <c r="A4" s="8"/>
      <c r="B4" s="8"/>
      <c r="C4" s="8"/>
      <c r="D4" s="8"/>
      <c r="E4" s="8"/>
      <c r="F4" s="8"/>
      <c r="G4" s="8"/>
      <c r="H4" s="8"/>
      <c r="I4" s="8"/>
      <c r="J4" s="8"/>
      <c r="K4" s="8"/>
      <c r="L4" s="8"/>
      <c r="M4" s="8"/>
      <c r="N4" s="8"/>
      <c r="O4" s="8"/>
    </row>
    <row r="5" spans="1:17" x14ac:dyDescent="0.35">
      <c r="A5" s="8"/>
      <c r="B5" s="8"/>
      <c r="C5" s="8"/>
      <c r="D5" s="8"/>
      <c r="E5" s="8"/>
      <c r="F5" s="8"/>
      <c r="G5" s="8"/>
      <c r="H5" s="8"/>
      <c r="I5" s="8"/>
      <c r="J5" s="8"/>
      <c r="K5" s="8"/>
      <c r="L5" s="8"/>
      <c r="M5" s="8"/>
      <c r="N5" s="8"/>
      <c r="O5" s="8"/>
      <c r="Q5" s="9"/>
    </row>
    <row r="6" spans="1:17" x14ac:dyDescent="0.35">
      <c r="A6" s="8"/>
      <c r="B6" s="8"/>
      <c r="C6" s="8"/>
      <c r="D6" s="8"/>
      <c r="E6" s="8"/>
      <c r="F6" s="8"/>
      <c r="G6" s="8"/>
      <c r="H6" s="8"/>
      <c r="I6" s="8"/>
      <c r="J6" s="8"/>
      <c r="K6" s="8"/>
      <c r="L6" s="8"/>
      <c r="M6" s="8"/>
      <c r="N6" s="8"/>
      <c r="O6" s="8"/>
    </row>
    <row r="10" spans="1:17" x14ac:dyDescent="0.35">
      <c r="P10" s="9"/>
    </row>
  </sheetData>
  <mergeCells count="1">
    <mergeCell ref="A1:O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maina mwangi</cp:lastModifiedBy>
  <dcterms:created xsi:type="dcterms:W3CDTF">2022-03-18T02:50:57Z</dcterms:created>
  <dcterms:modified xsi:type="dcterms:W3CDTF">2026-02-19T06:19:59Z</dcterms:modified>
</cp:coreProperties>
</file>